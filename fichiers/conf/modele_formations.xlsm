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dev\sgdfExtractor\tmp\"/>
    </mc:Choice>
  </mc:AlternateContent>
  <xr:revisionPtr revIDLastSave="0" documentId="13_ncr:1_{AC81E1DE-C793-4AD0-BFFC-ADD275B0392B}" xr6:coauthVersionLast="36" xr6:coauthVersionMax="36" xr10:uidLastSave="{00000000-0000-0000-0000-000000000000}"/>
  <bookViews>
    <workbookView xWindow="0" yWindow="0" windowWidth="21180" windowHeight="9510" tabRatio="868" activeTab="1" xr2:uid="{00000000-000D-0000-FFFF-FFFF00000000}"/>
  </bookViews>
  <sheets>
    <sheet name="Chefs" sheetId="1" r:id="rId1"/>
    <sheet name="RespCompas" sheetId="5" r:id="rId2"/>
    <sheet name="ActFormations" sheetId="14" r:id="rId3"/>
    <sheet name="APFChefs" sheetId="15" r:id="rId4"/>
    <sheet name="TECH" sheetId="6" r:id="rId5"/>
    <sheet name="APPROas" sheetId="7" r:id="rId6"/>
    <sheet name="APPROxxx" sheetId="10" r:id="rId7"/>
    <sheet name="MASC" sheetId="16" r:id="rId8"/>
    <sheet name="AnimateurSF" sheetId="8" r:id="rId9"/>
    <sheet name="DirecteurSF" sheetId="9" r:id="rId10"/>
    <sheet name="Aide" sheetId="11" r:id="rId11"/>
    <sheet name="TAMStagBAFA" sheetId="17" r:id="rId12"/>
  </sheets>
  <definedNames>
    <definedName name="_xlnm._FilterDatabase" localSheetId="2" hidden="1">ActFormations!$A$1:$J$559</definedName>
    <definedName name="_xlnm._FilterDatabase" localSheetId="5" hidden="1">APPROas!$A$1:$AY$55</definedName>
    <definedName name="_xlnm._FilterDatabase" localSheetId="0" hidden="1">Chefs!$A$3:$AD$4</definedName>
    <definedName name="_xlnm._FilterDatabase" localSheetId="1" hidden="1">RespCompas!$A$4:$H$379</definedName>
    <definedName name="_xlnm._FilterDatabase" localSheetId="11" hidden="1">TAMStagBAFA!$B$1:$L$50</definedName>
    <definedName name="DatePourAge" comment="Date à laque on veu connaître l'âge d'une personne (par exemple, jsute avant les camps)">Chefs!$AD$1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4" i="1" l="1"/>
  <c r="R4" i="1"/>
  <c r="Q4" i="1"/>
  <c r="O4" i="1"/>
  <c r="N4" i="1"/>
  <c r="M4" i="1"/>
  <c r="K4" i="1"/>
  <c r="J4" i="1"/>
  <c r="I4" i="1"/>
  <c r="F4" i="1"/>
  <c r="P4" i="1" l="1"/>
  <c r="G4" i="1" s="1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2" i="17"/>
  <c r="H4" i="1" l="1"/>
  <c r="AC4" i="1" l="1"/>
  <c r="AB4" i="1" s="1"/>
  <c r="AD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 Finet</author>
    <author/>
  </authors>
  <commentList>
    <comment ref="R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Luc Finet:</t>
        </r>
        <r>
          <rPr>
            <sz val="9"/>
            <color indexed="81"/>
            <rFont val="Tahoma"/>
            <family val="2"/>
          </rPr>
          <t xml:space="preserve">
APPRO de type indéterminé</t>
        </r>
      </text>
    </comment>
    <comment ref="Y4" authorId="1" shapeId="0" xr:uid="{00000000-0006-0000-0000-000002000000}">
      <text>
        <r>
          <rPr>
            <sz val="10"/>
            <color rgb="FF000000"/>
            <rFont val="Arial"/>
            <family val="2"/>
          </rPr>
          <t>2 Buchettes (BO13792) (obtention : 23/02/2016)
2 Buchettes (BO13792) (obtention : 24/02/2016)</t>
        </r>
      </text>
    </comment>
  </commentList>
</comments>
</file>

<file path=xl/sharedStrings.xml><?xml version="1.0" encoding="utf-8"?>
<sst xmlns="http://schemas.openxmlformats.org/spreadsheetml/2006/main" count="1116" uniqueCount="346">
  <si>
    <t>TECH</t>
  </si>
  <si>
    <t>APPRO</t>
  </si>
  <si>
    <t>CHAM</t>
  </si>
  <si>
    <t>STAF</t>
  </si>
  <si>
    <t>Qualifications</t>
  </si>
  <si>
    <t>Formations</t>
  </si>
  <si>
    <t>Diplômes</t>
  </si>
  <si>
    <t>Code Adhérent</t>
  </si>
  <si>
    <t>Prénom</t>
  </si>
  <si>
    <t>Nom</t>
  </si>
  <si>
    <t>Age</t>
  </si>
  <si>
    <t>Fonct.</t>
  </si>
  <si>
    <t>BAFD</t>
  </si>
  <si>
    <t>2 Buchettes</t>
  </si>
  <si>
    <t>3 Buchettes</t>
  </si>
  <si>
    <t>4 Buchettes</t>
  </si>
  <si>
    <t>SIXTINE</t>
  </si>
  <si>
    <t>PIERRE</t>
  </si>
  <si>
    <t>CAMILLE</t>
  </si>
  <si>
    <t>ANTOINE</t>
  </si>
  <si>
    <t>LOUISE</t>
  </si>
  <si>
    <t>BERNARDI</t>
  </si>
  <si>
    <t>CEDRIC</t>
  </si>
  <si>
    <t>FRANCOIS</t>
  </si>
  <si>
    <t>BORDAIS</t>
  </si>
  <si>
    <t>Directeur</t>
  </si>
  <si>
    <t>PAUL</t>
  </si>
  <si>
    <t>CHEILA</t>
  </si>
  <si>
    <t>CLELAND</t>
  </si>
  <si>
    <t>XAVIER</t>
  </si>
  <si>
    <t>LUC</t>
  </si>
  <si>
    <t>CLAIRE</t>
  </si>
  <si>
    <t>CLOTHILDE</t>
  </si>
  <si>
    <t>DE MUNTER</t>
  </si>
  <si>
    <t>BERTILLE</t>
  </si>
  <si>
    <t>FINET</t>
  </si>
  <si>
    <t>MORGANE</t>
  </si>
  <si>
    <t>FRENOIS</t>
  </si>
  <si>
    <t>ALEXIS</t>
  </si>
  <si>
    <t>GARDENT</t>
  </si>
  <si>
    <t>BÉRENGÈRE</t>
  </si>
  <si>
    <t>GERRIER</t>
  </si>
  <si>
    <t>SOPHIE</t>
  </si>
  <si>
    <t>CÉLINE</t>
  </si>
  <si>
    <t>HERRERIAS</t>
  </si>
  <si>
    <t>CHRISTOPHE</t>
  </si>
  <si>
    <t>JOURJON</t>
  </si>
  <si>
    <t>LAVAUD</t>
  </si>
  <si>
    <t>COME</t>
  </si>
  <si>
    <t>LE LIEPVRE</t>
  </si>
  <si>
    <t>MANCEL</t>
  </si>
  <si>
    <t>JONATHAN</t>
  </si>
  <si>
    <t>NARME</t>
  </si>
  <si>
    <t>ADÈLE</t>
  </si>
  <si>
    <t>PATANCHON</t>
  </si>
  <si>
    <t>QUINCHON</t>
  </si>
  <si>
    <t>RENAUD</t>
  </si>
  <si>
    <t>ROUSSEL</t>
  </si>
  <si>
    <t>SAUVAGE</t>
  </si>
  <si>
    <t>WERNERT</t>
  </si>
  <si>
    <t>Stagiaire BAFA potentiel</t>
  </si>
  <si>
    <t>Date TECH</t>
  </si>
  <si>
    <t>Date fin Directeur SF</t>
  </si>
  <si>
    <t>Date fin Animateur SF</t>
  </si>
  <si>
    <t>IndividuCivilite.NomCourt</t>
  </si>
  <si>
    <t>Individu.CodeAdherent</t>
  </si>
  <si>
    <t>Individu.Nom</t>
  </si>
  <si>
    <t>Individu.Prenom</t>
  </si>
  <si>
    <t>Structure.CodeStructure</t>
  </si>
  <si>
    <t>Structure.Nom</t>
  </si>
  <si>
    <t>Fonction.Code</t>
  </si>
  <si>
    <t>Fonction.CategorieMembre</t>
  </si>
  <si>
    <t>Fonction.NomMasculin</t>
  </si>
  <si>
    <t>Fonction.NomFeminin</t>
  </si>
  <si>
    <t>Inscription.Delegations</t>
  </si>
  <si>
    <t>Individu.NomJeuneFille</t>
  </si>
  <si>
    <t>Individu.Adresse.Ligne1</t>
  </si>
  <si>
    <t>Individu.Adresse.Ligne2</t>
  </si>
  <si>
    <t>Individu.Adresse.Ligne3</t>
  </si>
  <si>
    <t>Individu.Adresse.CodePostal</t>
  </si>
  <si>
    <t>Individu.Adresse.Municipalite</t>
  </si>
  <si>
    <t>Individu.Adresse.Pays</t>
  </si>
  <si>
    <t>Individu.TelephoneDomicile</t>
  </si>
  <si>
    <t>Individu.TelephonePortable1</t>
  </si>
  <si>
    <t>Individu.TelephonePortable2</t>
  </si>
  <si>
    <t>Individu.TelephoneBureau</t>
  </si>
  <si>
    <t>Individu.Fax</t>
  </si>
  <si>
    <t>Individu.CourrielPersonnel</t>
  </si>
  <si>
    <t>Individu.CourrielProfessionnel</t>
  </si>
  <si>
    <t>Individu.DateNaissance</t>
  </si>
  <si>
    <t>Individu.LieuNaissance</t>
  </si>
  <si>
    <t>IndividuPaysNaissance.PaysLib</t>
  </si>
  <si>
    <t>Individu.Profession</t>
  </si>
  <si>
    <t>Individu.NumeroAllocataire</t>
  </si>
  <si>
    <t>Individu.RegimeCAF</t>
  </si>
  <si>
    <t>Individu.RegimeMSA</t>
  </si>
  <si>
    <t>Individu.RegimeMaritime</t>
  </si>
  <si>
    <t>Individu.RegimeAutre</t>
  </si>
  <si>
    <t>Individu.RegimeAllocataire</t>
  </si>
  <si>
    <t>Individu.AutorisationInterventionChirurgicale</t>
  </si>
  <si>
    <t>Individu.DroitImage</t>
  </si>
  <si>
    <t>Individu.AssuranceResponsabiliteCivile</t>
  </si>
  <si>
    <t>Individu.AutoriseMailInfoMouvement</t>
  </si>
  <si>
    <t>Individu.AutoriseMailInfoExterne</t>
  </si>
  <si>
    <t>Adhesions.DateDebut</t>
  </si>
  <si>
    <t>Adhesions.DateFin</t>
  </si>
  <si>
    <t>Adhesions.Statut</t>
  </si>
  <si>
    <t>AdhesionsTarif.Libelle</t>
  </si>
  <si>
    <t>Adhesions.QuotientFamilialNonDonne</t>
  </si>
  <si>
    <t>M.</t>
  </si>
  <si>
    <t>Mlle</t>
  </si>
  <si>
    <t>161511821</t>
  </si>
  <si>
    <t>Mme</t>
  </si>
  <si>
    <t>152767323</t>
  </si>
  <si>
    <t>151685815</t>
  </si>
  <si>
    <t>161389111</t>
  </si>
  <si>
    <t>150395317</t>
  </si>
  <si>
    <t>160401287</t>
  </si>
  <si>
    <t>153090394</t>
  </si>
  <si>
    <t>120733852</t>
  </si>
  <si>
    <t>161527737</t>
  </si>
  <si>
    <t>131231813</t>
  </si>
  <si>
    <t>131050825</t>
  </si>
  <si>
    <t>130967409</t>
  </si>
  <si>
    <t>151077948</t>
  </si>
  <si>
    <t>161432358</t>
  </si>
  <si>
    <t>162329380</t>
  </si>
  <si>
    <t>161441713</t>
  </si>
  <si>
    <t>121100895</t>
  </si>
  <si>
    <t>162391826</t>
  </si>
  <si>
    <t>162391842</t>
  </si>
  <si>
    <t>163164842</t>
  </si>
  <si>
    <t>162501657</t>
  </si>
  <si>
    <t>162299517</t>
  </si>
  <si>
    <t>163073449</t>
  </si>
  <si>
    <t>APPRO ACCUEIL DE SCOUTISME</t>
  </si>
  <si>
    <t>MODULE APPRO ACCUEIL DE SCOUTISME</t>
  </si>
  <si>
    <t>QualificationsQualificationJeunesseSports.Libelle</t>
  </si>
  <si>
    <t>Qualifications.EstTitulaire</t>
  </si>
  <si>
    <t>Qualifications.DateFinValidite</t>
  </si>
  <si>
    <t xml:space="preserve">  Extraire dans Intranet la liste de ceux qui ont fait une formation TECH ( Adhérents uniquement ; Formation : TECH ; Informations : Individu,Inscription, Adhésion)</t>
  </si>
  <si>
    <t xml:space="preserve">  Rajouter un onglet TECH s'il n'existait pas et y faire un COPIER-COLLER du fichier extrait</t>
  </si>
  <si>
    <t xml:space="preserve">Rajouter une colonne DATE TECH, après la colonne TECH, et y copier la formule  =RECHERCHEV(TEXTE($An;"#########")  etc </t>
  </si>
  <si>
    <t>car la colonne A de l'onglet CHEFS est numérique, alors que la colonne B de "TECH" est alphanumérique !</t>
  </si>
  <si>
    <t>Mettre -1 au numéro de colonne car la clé de recherche (N° adhérent) est sur la deuxième colonne)</t>
  </si>
  <si>
    <t>Rajouter une colonne Stagiaire BAFA potentiel, et y rajouter une formule avec 2 fonctions SI imbriquées :</t>
  </si>
  <si>
    <t xml:space="preserve">Si TECH fait il y a moins de 2,5 années (plus une année de prolongation possible), </t>
  </si>
  <si>
    <t>et si il n'a pas déjà fait son APPRO, alors il peut être stagiaire BAFA</t>
  </si>
  <si>
    <t>mais s'il a fait un APPRO (colonne APPRO vide), alors BAFA Potentiel vide</t>
  </si>
  <si>
    <t xml:space="preserve">Si TECH fait il y a plus de 2,5 années (plus une année de prolongation possible), </t>
  </si>
  <si>
    <t xml:space="preserve">alors c'est trop tard, on signale ce cas juste par des tirets dans la colonne </t>
  </si>
  <si>
    <t>Pour connaître nom d'unité et groupe :</t>
  </si>
  <si>
    <t>Rajouter un onglet "Responsables"</t>
  </si>
  <si>
    <t xml:space="preserve">Extraire dans Intranet   la liste de tous les ADHERENTS et catégorie RESPONSABLES </t>
  </si>
  <si>
    <t>Faire un COPIER/COLLER de cet extrait (colonnes A à G seulement)     sur l'onglet "Responsables"</t>
  </si>
  <si>
    <t>Sur l'onglet CHEFS, rajouter trois colonnes : Code groupe, Code unité et Nom unité</t>
  </si>
  <si>
    <t>Remplir les colonnes Code unité et Nom unité avec fonction RECHERCHEV dans l'onglet RESPONSABLES (colonnes 4 et 5)</t>
  </si>
  <si>
    <t>La colonne Code unité est créée avec type : TEXTE</t>
  </si>
  <si>
    <t>Remplir la colonne Code Groupe en prenant le CNUM de quotient de CODE UNITé par 100, puis en remulitipliant par 100</t>
  </si>
  <si>
    <t>Version de test : voir fonction ALEA.ENTRE.BORNES(min;max)</t>
  </si>
  <si>
    <t>Onglet APPROxxx : stage APPRO mixte, il faut voir l'avis de stage pour savoir si le stagiaire a suivi le cursus accueil de scouttisme</t>
  </si>
  <si>
    <t>Onglet APPROas : stage APPRO Accueil de Scoutisimes ou module accueil de scoutisme</t>
  </si>
  <si>
    <t>Code groupe</t>
  </si>
  <si>
    <t>Code unité</t>
  </si>
  <si>
    <t>Nom unité</t>
  </si>
  <si>
    <t>Date APPROas</t>
  </si>
  <si>
    <t>Date APPROxxx</t>
  </si>
  <si>
    <t>Analyse :</t>
  </si>
  <si>
    <t>Qui a sa qualification Directeurs SF expirée ?</t>
  </si>
  <si>
    <t>Qui a sa qualification Animateur SF expirée ?</t>
  </si>
  <si>
    <t>Age au 01/07/2107</t>
  </si>
  <si>
    <t>DATEVAL("01/07/2017")-RECHERCHEV(  … colonne où il y a la date de naissance)</t>
  </si>
  <si>
    <t>Nombre de valeurs uniques dans une colonne</t>
  </si>
  <si>
    <t>=SOMMEPROD(1/NB.SI(plage;plage))</t>
  </si>
  <si>
    <t>152938338</t>
  </si>
  <si>
    <t>BECHU</t>
  </si>
  <si>
    <t>151597077</t>
  </si>
  <si>
    <t>COTHENET</t>
  </si>
  <si>
    <t>MAYEUL</t>
  </si>
  <si>
    <t>ROBIN</t>
  </si>
  <si>
    <t>162152921</t>
  </si>
  <si>
    <t>ParticipationsActionsFormation.RoleInscritActionFormation</t>
  </si>
  <si>
    <t>ActionFormationType.Libelle</t>
  </si>
  <si>
    <t>TypeFormation.Libelle</t>
  </si>
  <si>
    <t>ActionFormation.Libelle</t>
  </si>
  <si>
    <t>ActionFormation.DateDebut</t>
  </si>
  <si>
    <t>ActionFormation.DateFin</t>
  </si>
  <si>
    <t>Stage</t>
  </si>
  <si>
    <t>Tech Jambville K</t>
  </si>
  <si>
    <t>Week-end</t>
  </si>
  <si>
    <t>FORMATION COMPAGNON 1ER TEMPS</t>
  </si>
  <si>
    <t>Journée</t>
  </si>
  <si>
    <t>FORMATION COMPAGNON 2EME TEMPS</t>
  </si>
  <si>
    <t>Module</t>
  </si>
  <si>
    <t>FC1 Igny D</t>
  </si>
  <si>
    <t>Formation Compagnons 2e temps supplémentaire - Par</t>
  </si>
  <si>
    <t>FORMATION GENERALE TRESORIER-SECRETAIRE</t>
  </si>
  <si>
    <t>MODULE APPRO RENCONTRES INTERNATIONALES</t>
  </si>
  <si>
    <t>Module Appro Rencontres Internationales A</t>
  </si>
  <si>
    <t>APF CHEFS - CHEFTAINES</t>
  </si>
  <si>
    <t>APF chefs/cheftaines - Paris Ouest</t>
  </si>
  <si>
    <t>FORMATION INITIALE DES RESPONSABLES DE GROUPE</t>
  </si>
  <si>
    <t>Formation Initiale RG Jambville A</t>
  </si>
  <si>
    <t>Formation Compagnon 1er temps Igny B</t>
  </si>
  <si>
    <t>Aide à la Prise de Fonction - Chefs/Cheftaines</t>
  </si>
  <si>
    <t>Formateur</t>
  </si>
  <si>
    <t>Appro Sco/Gui-Pio/Car Accueil de Scoutisme Jamb. E</t>
  </si>
  <si>
    <t>CHAM B</t>
  </si>
  <si>
    <t>FORMATION INITIALE ACCOMPAGNATEURS PEDAGOGIQUES</t>
  </si>
  <si>
    <t>Formation Compagnon 2ème Temps Igny D</t>
  </si>
  <si>
    <t>FC1 Igny E</t>
  </si>
  <si>
    <t>Tech Jambville C</t>
  </si>
  <si>
    <t>Appro AS-Anim Sco/Gui-Pio/Car Loches</t>
  </si>
  <si>
    <t>Formation Compagnon 2ème temps Paris 12e</t>
  </si>
  <si>
    <t>Module Appro Accueil de Scoutisme Jambville A</t>
  </si>
  <si>
    <t>PATRON D'EMBARCATION</t>
  </si>
  <si>
    <t>PE Jeunes</t>
  </si>
  <si>
    <t>FORMATION GENERALE RESPONSABLE DE GROUPE</t>
  </si>
  <si>
    <t>FGRG2 Jambville B</t>
  </si>
  <si>
    <t>FORMATION ACCUEIL DE SCOUTISME RG</t>
  </si>
  <si>
    <t>Tech Jambville A</t>
  </si>
  <si>
    <t>APF Chefs/Cheftaines Paris Ouest</t>
  </si>
  <si>
    <t>Appro LJ-PC Accueil de scoutisme</t>
  </si>
  <si>
    <t>Tech Jambville G</t>
  </si>
  <si>
    <t>FGST Jambville</t>
  </si>
  <si>
    <t>Module Appro Accueil de Scoutisme Jambville B</t>
  </si>
  <si>
    <t>Appro LJ-SG Accueil de scoutisme</t>
  </si>
  <si>
    <t>Appro Accueil de Scoutisme Jambville C</t>
  </si>
  <si>
    <t>Module Appro Accueil de Scoutisme Jambville C</t>
  </si>
  <si>
    <t>Module Appro' Accueil de Scoutisme - Printemps- Ja</t>
  </si>
  <si>
    <t>Appro Accueil de Scoutisme Jambville B</t>
  </si>
  <si>
    <t>Tech Jambville E</t>
  </si>
  <si>
    <t>Appro LJ Animation/Accueil de Scoutisme</t>
  </si>
  <si>
    <t>FITS Jambville B</t>
  </si>
  <si>
    <t>FST Jambville</t>
  </si>
  <si>
    <t>Appro Accueil de Scoutisme Jambville D</t>
  </si>
  <si>
    <t>APF chefs/cheftaines Paris Ouest</t>
  </si>
  <si>
    <t>CHAM Jambville C</t>
  </si>
  <si>
    <t>Tech Jambville H</t>
  </si>
  <si>
    <t>Appro Accueil de Scoutime Jambville B</t>
  </si>
  <si>
    <t>Form. des Accompagnateurs Pédagogiques</t>
  </si>
  <si>
    <t>FIRPP</t>
  </si>
  <si>
    <t>Formation Initiale des Accompagnateurs Pédagogique</t>
  </si>
  <si>
    <t>Tech Jambville L</t>
  </si>
  <si>
    <t>Formation Accueil de Scoutisme RG Jambville C</t>
  </si>
  <si>
    <t>Formation Compagnon 1er Temps Igny D</t>
  </si>
  <si>
    <t>MODULE ANIMATEUR DE SCOUTISME ET CAMPISME</t>
  </si>
  <si>
    <t>Module Animateur de Scoutisme et Campisme B</t>
  </si>
  <si>
    <t>Module Appro Accueil de Scoutisme Jambville D</t>
  </si>
  <si>
    <t>CHAM A</t>
  </si>
  <si>
    <t>STAF B</t>
  </si>
  <si>
    <t>FIRPP Jamvbille</t>
  </si>
  <si>
    <t>Appro La Réunion</t>
  </si>
  <si>
    <t>CHAM Jambville A</t>
  </si>
  <si>
    <t>STAF - Printemps - Jambville</t>
  </si>
  <si>
    <t>Approâ€™ â€“ Lv/Jn/Sc/Gd â€“ Acc. Scoutisme â€“ Hiver â€“ Le</t>
  </si>
  <si>
    <t>CHAM C</t>
  </si>
  <si>
    <t>BAFA FORMATION GENERALE</t>
  </si>
  <si>
    <t>Formation générale BAFA Partenariat Valdocco Argen</t>
  </si>
  <si>
    <t>STAF A</t>
  </si>
  <si>
    <t>CHAM B2</t>
  </si>
  <si>
    <t>FORMATION INITIALE DES EQUIPIERS TERRITORIAUX</t>
  </si>
  <si>
    <t>Formation Initiale des Equipiers Territoriaux</t>
  </si>
  <si>
    <t>Appro Lvt/Jea Jambville B</t>
  </si>
  <si>
    <t>Formation Compagnon 1er temps Igny C</t>
  </si>
  <si>
    <t>Tech' Jambville K</t>
  </si>
  <si>
    <t>Appro SG Animation/Accueil de Scoutisme</t>
  </si>
  <si>
    <t>Tech Jambville B</t>
  </si>
  <si>
    <t>Module Appro Accueil de Scoutisme La Tanière</t>
  </si>
  <si>
    <t>FC2 Jambville Rattrapage</t>
  </si>
  <si>
    <t>Appro Lvt/Jea - Sco/Gui Jambville A</t>
  </si>
  <si>
    <t>Formation Compagnon 2ème Temps Igny B</t>
  </si>
  <si>
    <t>ActionFormation.DateFin    descendant</t>
  </si>
  <si>
    <t>ParticipationsActionsFormation.RoleInscritActionFormation  descendant</t>
  </si>
  <si>
    <t>DatePourAge</t>
  </si>
  <si>
    <t>Responsables et compagnons ADHÉRENTS à extraire d'Intranet en 2 requ^tes (une pour Responsables, une pour Compagnons (code fonction 140 ou 140M)</t>
  </si>
  <si>
    <t>Date APF</t>
  </si>
  <si>
    <t>Date MASC</t>
  </si>
  <si>
    <t>Inscriptions.DateDebut</t>
  </si>
  <si>
    <t>Inscriptions.DateFin</t>
  </si>
  <si>
    <t>Inscriptions.Type</t>
  </si>
  <si>
    <t>Animateur SF titulaire</t>
  </si>
  <si>
    <t>Directeur SF titulaire</t>
  </si>
  <si>
    <t>IntNom</t>
  </si>
  <si>
    <t>IntPrenom</t>
  </si>
  <si>
    <t>IntDateNaissance</t>
  </si>
  <si>
    <t>FonLib</t>
  </si>
  <si>
    <t>CategorieDiplome</t>
  </si>
  <si>
    <t>Diplome</t>
  </si>
  <si>
    <t>QuaLib</t>
  </si>
  <si>
    <t>Stagiaire BAFA dans TAM</t>
  </si>
  <si>
    <t>IntervenantId</t>
  </si>
  <si>
    <t>OrganisateurId</t>
  </si>
  <si>
    <t>IntNomUsage</t>
  </si>
  <si>
    <t>Pour avoir les dates de stage TECH, il faut :  (modifié en Avril 2018)</t>
  </si>
  <si>
    <t xml:space="preserve">   puis copier dans la colonne IntNom  le nom de naissance si différent du nom d'usage</t>
  </si>
  <si>
    <t xml:space="preserve">  Cette colonne sera utilisé comme clé dans l'onglet CHEFS, colonne   "Stagiaire BAFA TAM"</t>
  </si>
  <si>
    <t>CHAM à compléter</t>
  </si>
  <si>
    <t>STAF à compléter</t>
  </si>
  <si>
    <t>BAFA à compléter</t>
  </si>
  <si>
    <t>APF à compléter</t>
  </si>
  <si>
    <t>Le remplir à partir de la ligne 5  en 2 temps (d'abord responsables, puis rajouter à la suite les compas)</t>
  </si>
  <si>
    <t>Extraire en cochant : adhérents seulement ,   individu, inscription, adhésion, puis en faisant un copier/coller sur l'onglet RespCompas</t>
  </si>
  <si>
    <t>Puis supprimer les colonnes entre FonctionCode et DateNaissance</t>
  </si>
  <si>
    <t xml:space="preserve">Très mauvaise programmation, mais ça donne quand même des infos utiles ; fourni sans aucune garantie ! </t>
  </si>
  <si>
    <t>Luc Finet Territoire Paris Sud Porte du Soleil</t>
  </si>
  <si>
    <t>Rajout onglet ACTFormations  (extrait des actions de formation de l'Intranet ; ne pas spécifier d'intervalle ou bien prendre au moins 5 ans )</t>
  </si>
  <si>
    <t>Afficher l'extrait directement dans Excel, et faire un copier/coller des colonnes A à J   dans l'onglet ACTFormations, à partir de la ligne 1.</t>
  </si>
  <si>
    <t>Trier le tableau surtout sur DataFin descendante, pour que le dernier stage suivi soit pris en compte (cas de stagiaires suivant plusieurs stages TECH, par exemple)</t>
  </si>
  <si>
    <t>Onglet APPROas : contiendra les extraits de APPRO ACCUEIL DE SCOUTISME , mais aussi MODULE APPRO ACCUEIL DE SCOUTISME (qui peuvent donner la Direction de camps)</t>
  </si>
  <si>
    <t xml:space="preserve">  Note : encore incertain, à vérifier : l'export de TAM donne le statut général de l'intervenant, pas sûr que ce soit le statut dans une fiche complémentaire</t>
  </si>
  <si>
    <t>MACRO     RemplitFormationsParType     (raccourci :  Ctrl+Majuscule+O    (lettre O))</t>
  </si>
  <si>
    <t>Cette macro remplit les onglets APFChefs, TECH, APPROas, APPROxxx, MASC   à partir de l'onglet  ActFormations.</t>
  </si>
  <si>
    <t>Cette macro récupère seulement les 1000 premières lignes d'action de formation.    Ajuster la macro s'il y a en a plus.</t>
  </si>
  <si>
    <t>Rappel : MASC = Module Animateur de Scoutisme et Campisme</t>
  </si>
  <si>
    <t>Limites actuelles :</t>
  </si>
  <si>
    <t xml:space="preserve">Formules et macros prévues pour 500 responsables+compas seulement - sinon ajuster </t>
  </si>
  <si>
    <t>ActFormations prévues pour 1000 actions seulement</t>
  </si>
  <si>
    <t>Cette feuille EXCEL est prévue comme une aide, il y a beaucoup de cas particluiers qui devront être étudiés individuellement.</t>
  </si>
  <si>
    <t>Onglet  RespCompas (responsables+ compas)</t>
  </si>
  <si>
    <t>Plusieurs colonnes encore à compléter ;  comportement bizarre d'Excel pour les formules quand on change les couleurs de remplissage !</t>
  </si>
  <si>
    <t xml:space="preserve">  (exemple : le contenu n'est plus affiché si on met en "Automatique" la couleur de remplissage de la colonne APPRO)</t>
  </si>
  <si>
    <t>Puis faire un copier/coller des colonnes  B à D de RespCompas (sans la ligne de titre) vers les colonnes A à C de l'onglet Chefs à partir de la ligne 4</t>
  </si>
  <si>
    <t>PSC1 à compléter</t>
  </si>
  <si>
    <t xml:space="preserve">Qui a suivi un TECH mais n'est pas encore titulaire ? </t>
  </si>
  <si>
    <t xml:space="preserve">Qui sont les chefs/cheftaines rouges qui n'auront pas 21 ans au camp ? </t>
  </si>
  <si>
    <t xml:space="preserve">Qui sont les chefs/cheftaines qui n'auront pas 18 ans au camp ? </t>
  </si>
  <si>
    <t>Qui sont les compagnons non chefs qui ont suivi un stage TECH et doivent être déclarés Stagiaire-BAFA</t>
  </si>
  <si>
    <t>Qui sont les chefs/cheftaines qui sont Stagiaire BAFA potentiels et ne le sont pas déclarés dans TAM ?</t>
  </si>
  <si>
    <t>Mettre à jour le champ DatePourAge  (cellule AD1) sur l'onglet "Chefs", qui est la cible de calcul de l'âge (typiquement, quel âge aura le chef avant le camp ?)</t>
  </si>
  <si>
    <t>ColVide</t>
  </si>
  <si>
    <t xml:space="preserve">   puis rajouter deux colonnes au début, et y mettre concaténation des colonnes C , espace, D  (exemple : =C2&amp;" "&amp;D2)</t>
  </si>
  <si>
    <r>
      <t xml:space="preserve">Onglet TAMStagBAFA : </t>
    </r>
    <r>
      <rPr>
        <sz val="10"/>
        <color rgb="FFFF0000"/>
        <rFont val="Arial"/>
        <family val="2"/>
      </rPr>
      <t>extraire de TAM tous les intervenants actifs dans un fichier EXCEL</t>
    </r>
  </si>
  <si>
    <t>Créer un filtre et ne garder que ceux qui sont "Anim titulaire - Stagiaire BAFA"</t>
  </si>
  <si>
    <t>Version 4</t>
  </si>
  <si>
    <t>&lt;/jt:forEach&gt;</t>
  </si>
  <si>
    <t>&lt;jt:forEach items="${chefs}" var="chef"&gt;${chef.champ['Individu.CodeAdherent']}</t>
  </si>
  <si>
    <t>&lt;jt:forEach items="${chefs}" var="chef"&gt;${chef.champ['IndividuCivilite.NomCourt']}</t>
  </si>
  <si>
    <t>${chef.champ['Individu.CodeAdherent']}</t>
  </si>
  <si>
    <t>${chef.champ['Individu.Nom']}</t>
  </si>
  <si>
    <t>${chef.champ['Individu.Prenom']}</t>
  </si>
  <si>
    <t>${chef.champ['Structure.Nom']}</t>
  </si>
  <si>
    <t>${chef.champ['Structure.CodeStructure']}</t>
  </si>
  <si>
    <t>${chef.champ['Fonction.Code']}</t>
  </si>
  <si>
    <t>${chef.champ['Individu.DateNaissance']}</t>
  </si>
  <si>
    <t>${chef.age}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</si>
</sst>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0"/>
      <color rgb="FF000000"/>
      <name val="Arial"/>
    </font>
    <font>
      <sz val="10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1"/>
      <color rgb="FF16365C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622599"/>
        <bgColor rgb="FF622599"/>
      </patternFill>
    </fill>
    <fill>
      <patternFill patternType="solid">
        <fgColor rgb="FFC5D9F1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 applyFont="1" applyAlignment="1"/>
    <xf numFmtId="0" fontId="1" fillId="0" borderId="2" xfId="0" applyFont="1" applyBorder="1"/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0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4" fillId="0" borderId="4" xfId="0" applyFont="1" applyBorder="1" applyAlignment="1">
      <alignment horizontal="left" wrapText="1"/>
    </xf>
    <xf numFmtId="0" fontId="4" fillId="0" borderId="5" xfId="0" applyFont="1" applyBorder="1" applyAlignment="1">
      <alignment horizontal="left" wrapText="1"/>
    </xf>
    <xf numFmtId="0" fontId="4" fillId="0" borderId="5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5" fillId="0" borderId="0" xfId="0" applyFont="1" applyAlignment="1">
      <alignment wrapText="1"/>
    </xf>
    <xf numFmtId="0" fontId="0" fillId="0" borderId="0" xfId="0"/>
    <xf numFmtId="49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1" fillId="0" borderId="0" xfId="0" applyNumberFormat="1" applyFont="1" applyBorder="1"/>
    <xf numFmtId="14" fontId="0" fillId="0" borderId="0" xfId="0" applyNumberFormat="1" applyFont="1" applyAlignment="1"/>
    <xf numFmtId="0" fontId="6" fillId="0" borderId="0" xfId="0" applyFont="1" applyAlignment="1"/>
    <xf numFmtId="0" fontId="6" fillId="0" borderId="0" xfId="0" quotePrefix="1" applyFont="1" applyAlignment="1"/>
    <xf numFmtId="0" fontId="5" fillId="0" borderId="0" xfId="0" applyFont="1" applyAlignment="1"/>
    <xf numFmtId="0" fontId="7" fillId="0" borderId="0" xfId="0" applyFont="1" applyBorder="1" applyAlignment="1">
      <alignment horizontal="left"/>
    </xf>
    <xf numFmtId="1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left" wrapText="1"/>
    </xf>
    <xf numFmtId="1" fontId="0" fillId="0" borderId="0" xfId="0" applyNumberFormat="1" applyFont="1" applyAlignment="1">
      <alignment horizontal="center"/>
    </xf>
    <xf numFmtId="14" fontId="8" fillId="3" borderId="9" xfId="0" applyNumberFormat="1" applyFont="1" applyFill="1" applyBorder="1" applyAlignment="1">
      <alignment horizontal="center"/>
    </xf>
    <xf numFmtId="14" fontId="8" fillId="3" borderId="9" xfId="0" applyNumberFormat="1" applyFont="1" applyFill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11" fillId="0" borderId="0" xfId="0" applyFont="1"/>
    <xf numFmtId="0" fontId="0" fillId="0" borderId="0" xfId="0" quotePrefix="1"/>
    <xf numFmtId="0" fontId="5" fillId="0" borderId="0" xfId="0" applyFont="1"/>
    <xf numFmtId="0" fontId="1" fillId="0" borderId="2" xfId="0" applyFont="1" applyBorder="1"/>
    <xf numFmtId="14" fontId="13" fillId="0" borderId="0" xfId="0" applyNumberFormat="1" applyFont="1" applyAlignment="1"/>
    <xf numFmtId="164" fontId="12" fillId="0" borderId="0" xfId="0" applyNumberFormat="1" applyFont="1"/>
    <xf numFmtId="0" fontId="3" fillId="0" borderId="0" xfId="0" applyFont="1" applyAlignment="1"/>
    <xf numFmtId="14" fontId="1" fillId="0" borderId="2" xfId="0" applyNumberFormat="1" applyFont="1" applyBorder="1"/>
    <xf numFmtId="14" fontId="4" fillId="0" borderId="5" xfId="0" applyNumberFormat="1" applyFont="1" applyBorder="1" applyAlignment="1">
      <alignment horizontal="left" wrapText="1"/>
    </xf>
    <xf numFmtId="14" fontId="2" fillId="2" borderId="3" xfId="0" applyNumberFormat="1" applyFont="1" applyFill="1" applyBorder="1" applyAlignment="1">
      <alignment horizontal="center"/>
    </xf>
    <xf numFmtId="0" fontId="13" fillId="0" borderId="5" xfId="0" applyFont="1" applyBorder="1" applyAlignment="1">
      <alignment horizontal="center" wrapText="1"/>
    </xf>
    <xf numFmtId="14" fontId="13" fillId="0" borderId="5" xfId="0" applyNumberFormat="1" applyFont="1" applyBorder="1" applyAlignment="1">
      <alignment horizontal="center" wrapText="1"/>
    </xf>
    <xf numFmtId="0" fontId="14" fillId="0" borderId="0" xfId="0" applyFont="1" applyAlignment="1"/>
    <xf numFmtId="0" fontId="3" fillId="0" borderId="0" xfId="0" applyFont="1"/>
    <xf numFmtId="0" fontId="4" fillId="0" borderId="6" xfId="0" applyFont="1" applyFill="1" applyBorder="1" applyAlignment="1">
      <alignment horizontal="left" wrapText="1"/>
    </xf>
    <xf numFmtId="0" fontId="0" fillId="0" borderId="0" xfId="0" applyFont="1" applyFill="1" applyAlignment="1"/>
    <xf numFmtId="0" fontId="1" fillId="0" borderId="0" xfId="0" applyFont="1" applyFill="1" applyBorder="1"/>
    <xf numFmtId="0" fontId="13" fillId="0" borderId="5" xfId="0" applyFont="1" applyFill="1" applyBorder="1" applyAlignment="1">
      <alignment horizontal="center" wrapText="1"/>
    </xf>
    <xf numFmtId="14" fontId="2" fillId="4" borderId="3" xfId="0" applyNumberFormat="1" applyFont="1" applyFill="1" applyBorder="1" applyAlignment="1">
      <alignment horizontal="center"/>
    </xf>
    <xf numFmtId="14" fontId="1" fillId="0" borderId="8" xfId="0" applyNumberFormat="1" applyFont="1" applyFill="1" applyBorder="1"/>
    <xf numFmtId="14" fontId="3" fillId="0" borderId="0" xfId="0" applyNumberFormat="1" applyFont="1" applyAlignment="1"/>
    <xf numFmtId="0" fontId="13" fillId="0" borderId="0" xfId="0" applyFont="1" applyAlignment="1"/>
    <xf numFmtId="14" fontId="14" fillId="0" borderId="0" xfId="0" applyNumberFormat="1" applyFont="1" applyAlignment="1"/>
    <xf numFmtId="0" fontId="4" fillId="0" borderId="0" xfId="0" applyFont="1" applyAlignment="1"/>
    <xf numFmtId="0" fontId="13" fillId="0" borderId="1" xfId="0" applyFont="1" applyBorder="1" applyAlignment="1">
      <alignment horizontal="center"/>
    </xf>
    <xf numFmtId="0" fontId="13" fillId="0" borderId="2" xfId="0" applyFont="1" applyBorder="1"/>
    <xf numFmtId="0" fontId="13" fillId="0" borderId="3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2" xfId="0" applyFont="1" applyBorder="1"/>
  </cellXfs>
  <cellStyles count="1">
    <cellStyle name="Normal" xfId="0" builtinId="0"/>
  </cellStyles>
  <dxfs count="24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180975</xdr:colOff>
      <xdr:row>4</xdr:row>
      <xdr:rowOff>0</xdr:rowOff>
    </xdr:to>
    <xdr:sp macro="" textlink="">
      <xdr:nvSpPr>
        <xdr:cNvPr id="1499" name="Rectangle 475" hidden="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2" name="AutoShape 4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687050" cy="98964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3" name="AutoShape 47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687050" cy="98964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4" name="AutoShape 47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687050" cy="98964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5" name="AutoShape 47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058525" cy="10439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6" name="AutoShape 47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01250" cy="10439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7" name="AutoShape 47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01250" cy="10439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8" name="AutoShape 475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01250" cy="10439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9" name="AutoShape 47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01250" cy="10439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10" name="AutoShape 47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01250" cy="10439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180975</xdr:colOff>
      <xdr:row>4</xdr:row>
      <xdr:rowOff>0</xdr:rowOff>
    </xdr:to>
    <xdr:sp macro="" textlink="">
      <xdr:nvSpPr>
        <xdr:cNvPr id="11" name="AutoShape 475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20400" cy="10439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622599"/>
  </sheetPr>
  <dimension ref="A1:AF4"/>
  <sheetViews>
    <sheetView zoomScale="70" zoomScaleNormal="70" workbookViewId="0">
      <pane xSplit="5" ySplit="3" topLeftCell="P4" activePane="bottomRight" state="frozen"/>
      <selection pane="topRight" activeCell="F1" sqref="F1"/>
      <selection pane="bottomLeft" activeCell="A3" sqref="A3"/>
      <selection pane="bottomRight" activeCell="D4" sqref="D4"/>
    </sheetView>
  </sheetViews>
  <sheetFormatPr baseColWidth="10" defaultColWidth="14.42578125" defaultRowHeight="15.75" customHeight="1" x14ac:dyDescent="0.2"/>
  <cols>
    <col min="1" max="1" width="12.140625" customWidth="1"/>
    <col min="2" max="2" width="19.7109375" customWidth="1"/>
    <col min="3" max="3" width="20.140625" customWidth="1"/>
    <col min="4" max="4" width="9.140625" customWidth="1"/>
    <col min="5" max="5" width="5.85546875" customWidth="1"/>
    <col min="6" max="6" width="12.28515625" customWidth="1"/>
    <col min="7" max="7" width="14.85546875" customWidth="1"/>
    <col min="8" max="8" width="26.85546875" customWidth="1"/>
    <col min="9" max="9" width="11.7109375" style="45" customWidth="1"/>
    <col min="10" max="10" width="11.7109375" style="19" customWidth="1"/>
    <col min="11" max="11" width="11.7109375" customWidth="1"/>
    <col min="12" max="12" width="8.7109375" customWidth="1"/>
    <col min="13" max="13" width="10.5703125" customWidth="1"/>
    <col min="14" max="14" width="8.5703125" style="45" customWidth="1"/>
    <col min="15" max="15" width="11.42578125" style="19" customWidth="1"/>
    <col min="16" max="16" width="9.42578125" customWidth="1"/>
    <col min="17" max="17" width="13" customWidth="1"/>
    <col min="18" max="18" width="13.42578125" customWidth="1"/>
    <col min="19" max="19" width="11.5703125" customWidth="1"/>
    <col min="20" max="20" width="10.5703125" customWidth="1"/>
    <col min="21" max="21" width="15" customWidth="1"/>
    <col min="22" max="22" width="10.28515625" customWidth="1"/>
    <col min="23" max="23" width="9.42578125" customWidth="1"/>
    <col min="24" max="24" width="6.85546875" hidden="1" customWidth="1"/>
    <col min="25" max="27" width="11.140625" hidden="1" customWidth="1"/>
    <col min="28" max="28" width="14.140625" customWidth="1"/>
    <col min="29" max="29" width="17.42578125" customWidth="1"/>
    <col min="30" max="30" width="46.7109375" customWidth="1"/>
  </cols>
  <sheetData>
    <row r="1" spans="1:32" ht="15.75" customHeight="1" x14ac:dyDescent="0.2">
      <c r="A1" s="54" t="s">
        <v>334</v>
      </c>
      <c r="B1" s="55"/>
      <c r="C1" s="55"/>
      <c r="D1" s="55"/>
      <c r="E1" s="56"/>
      <c r="F1" s="57" t="s">
        <v>4</v>
      </c>
      <c r="G1" s="58"/>
      <c r="H1" s="58"/>
      <c r="I1" s="59"/>
      <c r="J1" s="37"/>
      <c r="K1" s="1"/>
      <c r="L1" s="57" t="s">
        <v>5</v>
      </c>
      <c r="M1" s="58"/>
      <c r="N1" s="60"/>
      <c r="O1" s="60"/>
      <c r="P1" s="60"/>
      <c r="Q1" s="60"/>
      <c r="R1" s="60"/>
      <c r="S1" s="60"/>
      <c r="T1" s="59"/>
      <c r="U1" s="33"/>
      <c r="V1" s="57" t="s">
        <v>6</v>
      </c>
      <c r="W1" s="60"/>
      <c r="X1" s="60"/>
      <c r="Y1" s="60"/>
      <c r="Z1" s="60"/>
      <c r="AA1" s="59"/>
      <c r="AC1" t="s">
        <v>274</v>
      </c>
      <c r="AD1" s="34">
        <v>43282</v>
      </c>
    </row>
    <row r="2" spans="1:32" ht="15.75" customHeight="1" x14ac:dyDescent="0.2">
      <c r="A2" s="3"/>
      <c r="B2" s="4"/>
      <c r="C2" s="4"/>
      <c r="D2" s="4"/>
      <c r="E2" s="5"/>
      <c r="F2" s="3"/>
      <c r="G2" s="6"/>
      <c r="H2" s="6"/>
      <c r="I2" s="49"/>
      <c r="J2" s="18"/>
      <c r="K2" s="4"/>
      <c r="L2" s="3"/>
      <c r="M2" s="6"/>
      <c r="N2" s="46"/>
      <c r="O2" s="18"/>
      <c r="P2" s="4"/>
      <c r="Q2" s="4"/>
      <c r="R2" s="4"/>
      <c r="S2" s="4"/>
      <c r="T2" s="5"/>
      <c r="U2" s="4"/>
      <c r="V2" s="3"/>
      <c r="W2" s="4"/>
      <c r="X2" s="4"/>
      <c r="Y2" s="4"/>
      <c r="Z2" s="4"/>
      <c r="AA2" s="5"/>
    </row>
    <row r="3" spans="1:32" s="12" customFormat="1" ht="42" customHeight="1" x14ac:dyDescent="0.2">
      <c r="A3" s="7" t="s">
        <v>7</v>
      </c>
      <c r="B3" s="8" t="s">
        <v>9</v>
      </c>
      <c r="C3" s="8" t="s">
        <v>8</v>
      </c>
      <c r="D3" s="9" t="s">
        <v>10</v>
      </c>
      <c r="E3" s="10" t="s">
        <v>11</v>
      </c>
      <c r="F3" s="7" t="s">
        <v>281</v>
      </c>
      <c r="G3" s="8" t="s">
        <v>60</v>
      </c>
      <c r="H3" s="8" t="s">
        <v>290</v>
      </c>
      <c r="I3" s="44" t="s">
        <v>282</v>
      </c>
      <c r="J3" s="38" t="s">
        <v>63</v>
      </c>
      <c r="K3" s="8" t="s">
        <v>62</v>
      </c>
      <c r="L3" s="11" t="s">
        <v>300</v>
      </c>
      <c r="M3" s="40" t="s">
        <v>276</v>
      </c>
      <c r="N3" s="47" t="s">
        <v>0</v>
      </c>
      <c r="O3" s="41" t="s">
        <v>61</v>
      </c>
      <c r="P3" s="9" t="s">
        <v>1</v>
      </c>
      <c r="Q3" s="40" t="s">
        <v>165</v>
      </c>
      <c r="R3" s="40" t="s">
        <v>166</v>
      </c>
      <c r="S3" s="9" t="s">
        <v>297</v>
      </c>
      <c r="T3" s="10" t="s">
        <v>298</v>
      </c>
      <c r="U3" s="40" t="s">
        <v>277</v>
      </c>
      <c r="V3" s="11" t="s">
        <v>323</v>
      </c>
      <c r="W3" s="9" t="s">
        <v>299</v>
      </c>
      <c r="X3" s="9" t="s">
        <v>12</v>
      </c>
      <c r="Y3" s="9" t="s">
        <v>13</v>
      </c>
      <c r="Z3" s="9" t="s">
        <v>14</v>
      </c>
      <c r="AA3" s="10" t="s">
        <v>15</v>
      </c>
      <c r="AB3" s="24" t="s">
        <v>162</v>
      </c>
      <c r="AC3" s="12" t="s">
        <v>163</v>
      </c>
      <c r="AD3" s="25" t="s">
        <v>164</v>
      </c>
    </row>
    <row r="4" spans="1:32" ht="15.75" customHeight="1" x14ac:dyDescent="0.25">
      <c r="A4" s="43" t="s">
        <v>336</v>
      </c>
      <c r="B4" s="43" t="s">
        <v>339</v>
      </c>
      <c r="C4" s="36" t="s">
        <v>340</v>
      </c>
      <c r="D4" s="35" t="s">
        <v>345</v>
      </c>
      <c r="E4" s="29" t="s">
        <v>343</v>
      </c>
      <c r="F4" s="39" t="str">
        <f>_xlfn.IFNA(VLOOKUP($A4,AnimateurSF!$B$2:$AY$601,MATCH("Qualifications.EstTitulaire",AnimateurSF!$B$1:$BZ$1,0),FALSE),"")</f>
        <v/>
      </c>
      <c r="G4" s="23" t="str">
        <f ca="1">IF($P4&lt;&gt;"APPRO",IF($N4="TECH",IF(TODAY()&lt;O4+365+365+365+183,"Stagiaire-Bafa","Trop tard"),"Pas de TECH"),"APPRO fini")</f>
        <v>Pas de TECH</v>
      </c>
      <c r="H4" s="39" t="str">
        <f>_xlfn.IFNA(VLOOKUP($B4&amp;" "&amp;$C4,TAMStagBAFA!$B$2:$AZ$601,MATCH("Qualib",TAMStagBAFA!$B$1:$CA$1,0),FALSE),"")</f>
        <v/>
      </c>
      <c r="I4" s="48" t="str">
        <f>_xlfn.IFNA(VLOOKUP($A4,DirecteurSF!$B$2:$AY$601,MATCH("Qualifications.EstTitulaire",DirecteurSF!$B$1:$BZ$1,0),FALSE),"")</f>
        <v/>
      </c>
      <c r="J4" s="39" t="str">
        <f>_xlfn.IFNA(VLOOKUP($A4,AnimateurSF!$B$2:$AY$601,MATCH("Qualifications.DateFinValidite",AnimateurSF!$B$1:$BZ$1,0),FALSE),"")</f>
        <v/>
      </c>
      <c r="K4" s="39" t="str">
        <f>_xlfn.IFNA(VLOOKUP($A4,DirecteurSF!$B$2:$AY$601,MATCH("Qualifications.DateFinValidite",DirecteurSF!$B$1:$BZ$1,0),FALSE),"")</f>
        <v/>
      </c>
      <c r="L4" s="16"/>
      <c r="M4" s="39" t="str">
        <f>_xlfn.IFNA(VLOOKUP($A4,APFChefs!$B$2:$AY$601,MATCH("ActionFormation.DateFin",APFChefs!$B$1:$BZ$1,0),FALSE),"")</f>
        <v/>
      </c>
      <c r="N4" s="48" t="str">
        <f>_xlfn.IFNA(VLOOKUP($A4,TECH!$B$2:$AY$601,MATCH("TypeFormation.Libelle",TECH!$B$1:$BZ$1,0),FALSE),"")</f>
        <v/>
      </c>
      <c r="O4" s="39" t="str">
        <f>_xlfn.IFNA(VLOOKUP($A4,TECH!$B$2:$AY$601,MATCH("ActionFormation.DateFin",TECH!$B$1:$BZ$1,0),FALSE),"")</f>
        <v/>
      </c>
      <c r="P4" s="39" t="str">
        <f>IF(OR($Q4&lt;&gt;"",$R4&lt;&gt;""),"APPRO","---")</f>
        <v>---</v>
      </c>
      <c r="Q4" s="39" t="str">
        <f>_xlfn.IFNA(VLOOKUP($A4,APPROas!$B$2:$AY$601,MATCH("ActionFormation.DateFin",APPROas!$B$1:$BZ$1,0),FALSE),"")</f>
        <v/>
      </c>
      <c r="R4" s="39" t="str">
        <f>_xlfn.IFNA(VLOOKUP($A4,APPROxxx!$B$2:$AY$601,MATCH("ActionFormation.DateFin",APPROxxx!$B$1:$BZ$1,0),FALSE),"")</f>
        <v/>
      </c>
      <c r="S4" s="17"/>
      <c r="T4" s="2"/>
      <c r="U4" s="39" t="str">
        <f>_xlfn.IFNA(VLOOKUP($A4,MASC!$B$2:$AY$601,MATCH("ActionFormation.DateFin",MASC!$B$1:$BZ$1,0),FALSE),"")</f>
        <v/>
      </c>
      <c r="V4" s="16"/>
      <c r="W4" s="17"/>
      <c r="X4" s="17"/>
      <c r="Y4" s="17" t="s">
        <v>13</v>
      </c>
      <c r="Z4" s="17"/>
      <c r="AA4" s="2"/>
      <c r="AB4" s="26" t="e">
        <f t="shared" ref="AB4" si="0">100*QUOTIENT(VALUE(AC4),100)</f>
        <v>#N/A</v>
      </c>
      <c r="AC4" s="27" t="e">
        <f>VLOOKUP(TEXT($A4,"#########"),RespCompas!$B$4:$BP$503,4,FALSE)</f>
        <v>#N/A</v>
      </c>
      <c r="AD4" s="28" t="e">
        <f>VLOOKUP(TEXT($A4,"#########"),RespCompas!$B$4:$BP$503,5,FALSE)</f>
        <v>#N/A</v>
      </c>
      <c r="AE4" t="s">
        <v>335</v>
      </c>
      <c r="AF4" s="19"/>
    </row>
  </sheetData>
  <autoFilter ref="A3:AD4" xr:uid="{00000000-0009-0000-0000-000000000000}"/>
  <mergeCells count="4">
    <mergeCell ref="A1:E1"/>
    <mergeCell ref="F1:I1"/>
    <mergeCell ref="L1:T1"/>
    <mergeCell ref="V1:AA1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J546"/>
  <sheetViews>
    <sheetView tabSelected="1" topLeftCell="E1" workbookViewId="0">
      <pane ySplit="4" topLeftCell="A542" activePane="bottomLeft" state="frozen"/>
      <selection pane="bottomLeft" activeCell="H546" sqref="H546"/>
    </sheetView>
  </sheetViews>
  <sheetFormatPr baseColWidth="10" defaultColWidth="14.42578125" defaultRowHeight="15.75" customHeight="1" x14ac:dyDescent="0.2"/>
  <cols>
    <col min="5" max="5" width="45.28515625" bestFit="1" customWidth="1"/>
    <col min="6" max="6" width="54.7109375" customWidth="1"/>
    <col min="7" max="7" width="24.5703125" customWidth="1"/>
  </cols>
  <sheetData>
    <row r="1" spans="1:9" ht="15.75" customHeight="1" x14ac:dyDescent="0.2">
      <c r="A1" s="36" t="s">
        <v>275</v>
      </c>
    </row>
    <row r="4" spans="1:9" s="22" customFormat="1" ht="15.75" customHeight="1" x14ac:dyDescent="0.2">
      <c r="A4" s="32" t="s">
        <v>64</v>
      </c>
      <c r="B4" s="32" t="s">
        <v>65</v>
      </c>
      <c r="C4" s="32" t="s">
        <v>66</v>
      </c>
      <c r="D4" s="32" t="s">
        <v>67</v>
      </c>
      <c r="E4" s="32" t="s">
        <v>68</v>
      </c>
      <c r="F4" s="32" t="s">
        <v>69</v>
      </c>
      <c r="G4" s="32" t="s">
        <v>70</v>
      </c>
      <c r="H4" s="32" t="s">
        <v>89</v>
      </c>
      <c r="I4" s="32"/>
    </row>
    <row r="5" spans="1:9" ht="15.75" customHeight="1" x14ac:dyDescent="0.2">
      <c r="A5" s="13"/>
      <c r="B5" s="14"/>
      <c r="C5" s="13"/>
      <c r="D5" s="13"/>
      <c r="E5" s="14"/>
      <c r="F5" s="13"/>
      <c r="G5" s="14"/>
      <c r="H5" s="15"/>
      <c r="I5" s="15"/>
    </row>
    <row r="6" spans="1:9" ht="15.75" customHeight="1" x14ac:dyDescent="0.2">
      <c r="A6" s="13"/>
      <c r="B6" s="14"/>
      <c r="C6" s="13"/>
      <c r="D6" s="13"/>
      <c r="E6" s="14"/>
      <c r="F6" s="13"/>
      <c r="G6" s="14"/>
      <c r="H6" s="15"/>
      <c r="I6" s="15"/>
    </row>
    <row r="7" spans="1:9" ht="15.75" customHeight="1" x14ac:dyDescent="0.2">
      <c r="A7" s="13"/>
      <c r="B7" s="14"/>
      <c r="C7" s="13"/>
      <c r="D7" s="13"/>
      <c r="E7" s="14"/>
      <c r="F7" s="13"/>
      <c r="G7" s="14"/>
      <c r="H7" s="15"/>
      <c r="I7" s="15"/>
    </row>
    <row r="8" spans="1:9" ht="15.75" customHeight="1" x14ac:dyDescent="0.2">
      <c r="A8" s="13"/>
      <c r="B8" s="14"/>
      <c r="C8" s="13"/>
      <c r="D8" s="13"/>
      <c r="E8" s="14"/>
      <c r="F8" s="13"/>
      <c r="G8" s="14"/>
      <c r="H8" s="15"/>
      <c r="I8" s="15"/>
    </row>
    <row r="9" spans="1:9" ht="15.75" customHeight="1" x14ac:dyDescent="0.2">
      <c r="A9" s="13"/>
      <c r="B9" s="14"/>
      <c r="C9" s="13"/>
      <c r="D9" s="13"/>
      <c r="E9" s="14"/>
      <c r="F9" s="13"/>
      <c r="G9" s="14"/>
      <c r="H9" s="15"/>
      <c r="I9" s="15"/>
    </row>
    <row r="10" spans="1:9" ht="15.75" customHeight="1" x14ac:dyDescent="0.2">
      <c r="A10" s="13"/>
      <c r="B10" s="14"/>
      <c r="C10" s="13"/>
      <c r="D10" s="13"/>
      <c r="E10" s="14"/>
      <c r="F10" s="13"/>
      <c r="G10" s="14"/>
      <c r="H10" s="15"/>
      <c r="I10" s="15"/>
    </row>
    <row r="11" spans="1:9" ht="15.75" customHeight="1" x14ac:dyDescent="0.2">
      <c r="A11" s="13"/>
      <c r="B11" s="14"/>
      <c r="C11" s="13"/>
      <c r="D11" s="13"/>
      <c r="E11" s="14"/>
      <c r="F11" s="13"/>
      <c r="G11" s="14"/>
      <c r="H11" s="15"/>
      <c r="I11" s="15"/>
    </row>
    <row r="12" spans="1:9" ht="15.75" customHeight="1" x14ac:dyDescent="0.2">
      <c r="A12" s="13"/>
      <c r="B12" s="14"/>
      <c r="C12" s="13"/>
      <c r="D12" s="13"/>
      <c r="E12" s="14"/>
      <c r="F12" s="13"/>
      <c r="G12" s="14"/>
      <c r="H12" s="15"/>
      <c r="I12" s="15"/>
    </row>
    <row r="13" spans="1:9" ht="15.75" customHeight="1" x14ac:dyDescent="0.2">
      <c r="A13" s="13"/>
      <c r="B13" s="14"/>
      <c r="C13" s="13"/>
      <c r="D13" s="13"/>
      <c r="E13" s="14"/>
      <c r="F13" s="13"/>
      <c r="G13" s="14"/>
      <c r="H13" s="15"/>
      <c r="I13" s="15"/>
    </row>
    <row r="14" spans="1:9" ht="15.75" customHeight="1" x14ac:dyDescent="0.2">
      <c r="A14" s="13"/>
      <c r="B14" s="14"/>
      <c r="C14" s="13"/>
      <c r="D14" s="13"/>
      <c r="E14" s="14"/>
      <c r="F14" s="13"/>
      <c r="G14" s="14"/>
      <c r="H14" s="15"/>
      <c r="I14" s="15"/>
    </row>
    <row r="15" spans="1:9" ht="15.75" customHeight="1" x14ac:dyDescent="0.2">
      <c r="A15" s="13"/>
      <c r="B15" s="14"/>
      <c r="C15" s="13"/>
      <c r="D15" s="13"/>
      <c r="E15" s="14"/>
      <c r="F15" s="13"/>
      <c r="G15" s="14"/>
      <c r="H15" s="15"/>
      <c r="I15" s="15"/>
    </row>
    <row r="16" spans="1:9" ht="15.75" customHeight="1" x14ac:dyDescent="0.2">
      <c r="A16" s="13"/>
      <c r="B16" s="14"/>
      <c r="C16" s="13"/>
      <c r="D16" s="13"/>
      <c r="E16" s="14"/>
      <c r="F16" s="13"/>
      <c r="G16" s="14"/>
      <c r="H16" s="15"/>
      <c r="I16" s="15"/>
    </row>
    <row r="17" spans="1:9" ht="15.75" customHeight="1" x14ac:dyDescent="0.2">
      <c r="A17" s="13"/>
      <c r="B17" s="14"/>
      <c r="C17" s="13"/>
      <c r="D17" s="13"/>
      <c r="E17" s="14"/>
      <c r="F17" s="13"/>
      <c r="G17" s="14"/>
      <c r="H17" s="15"/>
      <c r="I17" s="15"/>
    </row>
    <row r="18" spans="1:9" ht="15.75" customHeight="1" x14ac:dyDescent="0.2">
      <c r="A18" s="13"/>
      <c r="B18" s="14"/>
      <c r="C18" s="13"/>
      <c r="D18" s="13"/>
      <c r="E18" s="14"/>
      <c r="F18" s="13"/>
      <c r="G18" s="14"/>
      <c r="H18" s="15"/>
      <c r="I18" s="15"/>
    </row>
    <row r="19" spans="1:9" ht="15.75" customHeight="1" x14ac:dyDescent="0.2">
      <c r="A19" s="13"/>
      <c r="B19" s="14"/>
      <c r="C19" s="13"/>
      <c r="D19" s="13"/>
      <c r="E19" s="14"/>
      <c r="F19" s="13"/>
      <c r="G19" s="14"/>
      <c r="H19" s="15"/>
      <c r="I19" s="15"/>
    </row>
    <row r="20" spans="1:9" ht="15.75" customHeight="1" x14ac:dyDescent="0.2">
      <c r="A20" s="13"/>
      <c r="B20" s="14"/>
      <c r="C20" s="13"/>
      <c r="D20" s="13"/>
      <c r="E20" s="14"/>
      <c r="F20" s="13"/>
      <c r="G20" s="14"/>
      <c r="H20" s="15"/>
      <c r="I20" s="15"/>
    </row>
    <row r="21" spans="1:9" ht="15.75" customHeight="1" x14ac:dyDescent="0.2">
      <c r="A21" s="13"/>
      <c r="B21" s="14"/>
      <c r="C21" s="13"/>
      <c r="D21" s="13"/>
      <c r="E21" s="14"/>
      <c r="F21" s="13"/>
      <c r="G21" s="14"/>
      <c r="H21" s="15"/>
      <c r="I21" s="15"/>
    </row>
    <row r="22" spans="1:9" ht="15.75" customHeight="1" x14ac:dyDescent="0.2">
      <c r="A22" s="13"/>
      <c r="B22" s="14"/>
      <c r="C22" s="13"/>
      <c r="D22" s="13"/>
      <c r="E22" s="14"/>
      <c r="F22" s="13"/>
      <c r="G22" s="14"/>
      <c r="H22" s="15"/>
      <c r="I22" s="15"/>
    </row>
    <row r="23" spans="1:9" ht="15.75" customHeight="1" x14ac:dyDescent="0.2">
      <c r="A23" s="13"/>
      <c r="B23" s="14"/>
      <c r="C23" s="13"/>
      <c r="D23" s="13"/>
      <c r="E23" s="14"/>
      <c r="F23" s="13"/>
      <c r="G23" s="14"/>
      <c r="H23" s="15"/>
      <c r="I23" s="15"/>
    </row>
    <row r="24" spans="1:9" ht="15.75" customHeight="1" x14ac:dyDescent="0.2">
      <c r="A24" s="13"/>
      <c r="B24" s="14"/>
      <c r="C24" s="13"/>
      <c r="D24" s="13"/>
      <c r="E24" s="14"/>
      <c r="F24" s="13"/>
      <c r="G24" s="14"/>
      <c r="H24" s="15"/>
      <c r="I24" s="15"/>
    </row>
    <row r="25" spans="1:9" ht="15.75" customHeight="1" x14ac:dyDescent="0.2">
      <c r="A25" s="13"/>
      <c r="B25" s="14"/>
      <c r="C25" s="13"/>
      <c r="D25" s="13"/>
      <c r="E25" s="14"/>
      <c r="F25" s="13"/>
      <c r="G25" s="14"/>
      <c r="H25" s="15"/>
      <c r="I25" s="15"/>
    </row>
    <row r="26" spans="1:9" ht="15.75" customHeight="1" x14ac:dyDescent="0.2">
      <c r="A26" s="13"/>
      <c r="B26" s="14"/>
      <c r="C26" s="13"/>
      <c r="D26" s="13"/>
      <c r="E26" s="14"/>
      <c r="F26" s="13"/>
      <c r="G26" s="14"/>
      <c r="H26" s="15"/>
      <c r="I26" s="15"/>
    </row>
    <row r="27" spans="1:9" ht="15.75" customHeight="1" x14ac:dyDescent="0.2">
      <c r="A27" s="13"/>
      <c r="B27" s="14"/>
      <c r="C27" s="13"/>
      <c r="D27" s="13"/>
      <c r="E27" s="14"/>
      <c r="F27" s="13"/>
      <c r="G27" s="14"/>
      <c r="H27" s="15"/>
      <c r="I27" s="15"/>
    </row>
    <row r="28" spans="1:9" ht="15.75" customHeight="1" x14ac:dyDescent="0.2">
      <c r="A28" s="13"/>
      <c r="B28" s="14"/>
      <c r="C28" s="13"/>
      <c r="D28" s="13"/>
      <c r="E28" s="14"/>
      <c r="F28" s="13"/>
      <c r="G28" s="14"/>
      <c r="H28" s="15"/>
      <c r="I28" s="15"/>
    </row>
    <row r="29" spans="1:9" ht="15.75" customHeight="1" x14ac:dyDescent="0.2">
      <c r="A29" s="13"/>
      <c r="B29" s="14"/>
      <c r="C29" s="13"/>
      <c r="D29" s="13"/>
      <c r="E29" s="14"/>
      <c r="F29" s="13"/>
      <c r="G29" s="14"/>
      <c r="H29" s="15"/>
      <c r="I29" s="15"/>
    </row>
    <row r="30" spans="1:9" ht="15.75" customHeight="1" x14ac:dyDescent="0.2">
      <c r="A30" s="13"/>
      <c r="B30" s="14"/>
      <c r="C30" s="13"/>
      <c r="D30" s="13"/>
      <c r="E30" s="14"/>
      <c r="F30" s="13"/>
      <c r="G30" s="14"/>
      <c r="H30" s="15"/>
      <c r="I30" s="15"/>
    </row>
    <row r="31" spans="1:9" ht="15.75" customHeight="1" x14ac:dyDescent="0.2">
      <c r="A31" s="13"/>
      <c r="B31" s="14"/>
      <c r="C31" s="13"/>
      <c r="D31" s="13"/>
      <c r="E31" s="14"/>
      <c r="F31" s="13"/>
      <c r="G31" s="14"/>
      <c r="H31" s="15"/>
      <c r="I31" s="15"/>
    </row>
    <row r="32" spans="1:9" ht="15.75" customHeight="1" x14ac:dyDescent="0.2">
      <c r="A32" s="13"/>
      <c r="B32" s="14"/>
      <c r="C32" s="13"/>
      <c r="D32" s="13"/>
      <c r="E32" s="14"/>
      <c r="F32" s="13"/>
      <c r="G32" s="14"/>
      <c r="H32" s="15"/>
      <c r="I32" s="15"/>
    </row>
    <row r="33" spans="1:9" ht="15.75" customHeight="1" x14ac:dyDescent="0.2">
      <c r="A33" s="13"/>
      <c r="B33" s="14"/>
      <c r="C33" s="13"/>
      <c r="D33" s="13"/>
      <c r="E33" s="14"/>
      <c r="F33" s="13"/>
      <c r="G33" s="14"/>
      <c r="H33" s="15"/>
      <c r="I33" s="15"/>
    </row>
    <row r="34" spans="1:9" ht="15.75" customHeight="1" x14ac:dyDescent="0.2">
      <c r="A34" s="13"/>
      <c r="B34" s="14"/>
      <c r="C34" s="13"/>
      <c r="D34" s="13"/>
      <c r="E34" s="14"/>
      <c r="F34" s="13"/>
      <c r="G34" s="14"/>
      <c r="H34" s="15"/>
      <c r="I34" s="15"/>
    </row>
    <row r="35" spans="1:9" ht="15.75" customHeight="1" x14ac:dyDescent="0.2">
      <c r="A35" s="13"/>
      <c r="B35" s="14"/>
      <c r="C35" s="13"/>
      <c r="D35" s="13"/>
      <c r="E35" s="14"/>
      <c r="F35" s="13"/>
      <c r="G35" s="14"/>
      <c r="H35" s="15"/>
      <c r="I35" s="15"/>
    </row>
    <row r="36" spans="1:9" ht="15.75" customHeight="1" x14ac:dyDescent="0.2">
      <c r="A36" s="13"/>
      <c r="B36" s="14"/>
      <c r="C36" s="13"/>
      <c r="D36" s="13"/>
      <c r="E36" s="14"/>
      <c r="F36" s="13"/>
      <c r="G36" s="14"/>
      <c r="H36" s="15"/>
      <c r="I36" s="15"/>
    </row>
    <row r="37" spans="1:9" ht="15.75" customHeight="1" x14ac:dyDescent="0.2">
      <c r="A37" s="13"/>
      <c r="B37" s="14"/>
      <c r="C37" s="13"/>
      <c r="D37" s="13"/>
      <c r="E37" s="14"/>
      <c r="F37" s="13"/>
      <c r="G37" s="14"/>
      <c r="H37" s="15"/>
      <c r="I37" s="15"/>
    </row>
    <row r="38" spans="1:9" ht="15.75" customHeight="1" x14ac:dyDescent="0.2">
      <c r="A38" s="13"/>
      <c r="B38" s="14"/>
      <c r="C38" s="13"/>
      <c r="D38" s="13"/>
      <c r="E38" s="14"/>
      <c r="F38" s="13"/>
      <c r="G38" s="14"/>
      <c r="H38" s="15"/>
      <c r="I38" s="15"/>
    </row>
    <row r="39" spans="1:9" ht="15.75" customHeight="1" x14ac:dyDescent="0.2">
      <c r="A39" s="13"/>
      <c r="B39" s="14"/>
      <c r="C39" s="13"/>
      <c r="D39" s="13"/>
      <c r="E39" s="14"/>
      <c r="F39" s="13"/>
      <c r="G39" s="14"/>
      <c r="H39" s="15"/>
      <c r="I39" s="15"/>
    </row>
    <row r="40" spans="1:9" ht="15.75" customHeight="1" x14ac:dyDescent="0.2">
      <c r="A40" s="13"/>
      <c r="B40" s="14"/>
      <c r="C40" s="13"/>
      <c r="D40" s="13"/>
      <c r="E40" s="14"/>
      <c r="F40" s="13"/>
      <c r="G40" s="14"/>
      <c r="H40" s="15"/>
      <c r="I40" s="15"/>
    </row>
    <row r="41" spans="1:9" ht="15.75" customHeight="1" x14ac:dyDescent="0.2">
      <c r="A41" s="13"/>
      <c r="B41" s="14"/>
      <c r="C41" s="13"/>
      <c r="D41" s="13"/>
      <c r="E41" s="14"/>
      <c r="F41" s="13"/>
      <c r="G41" s="14"/>
      <c r="H41" s="15"/>
      <c r="I41" s="15"/>
    </row>
    <row r="42" spans="1:9" ht="15.75" customHeight="1" x14ac:dyDescent="0.2">
      <c r="A42" s="13"/>
      <c r="B42" s="14"/>
      <c r="C42" s="13"/>
      <c r="D42" s="13"/>
      <c r="E42" s="14"/>
      <c r="F42" s="13"/>
      <c r="G42" s="14"/>
      <c r="H42" s="15"/>
      <c r="I42" s="15"/>
    </row>
    <row r="43" spans="1:9" ht="15.75" customHeight="1" x14ac:dyDescent="0.2">
      <c r="A43" s="13"/>
      <c r="B43" s="14"/>
      <c r="C43" s="13"/>
      <c r="D43" s="13"/>
      <c r="E43" s="14"/>
      <c r="F43" s="13"/>
      <c r="G43" s="14"/>
      <c r="H43" s="15"/>
      <c r="I43" s="15"/>
    </row>
    <row r="44" spans="1:9" ht="15.75" customHeight="1" x14ac:dyDescent="0.2">
      <c r="A44" s="13"/>
      <c r="B44" s="14"/>
      <c r="C44" s="13"/>
      <c r="D44" s="13"/>
      <c r="E44" s="14"/>
      <c r="F44" s="13"/>
      <c r="G44" s="14"/>
      <c r="H44" s="15"/>
      <c r="I44" s="15"/>
    </row>
    <row r="45" spans="1:9" ht="15.75" customHeight="1" x14ac:dyDescent="0.2">
      <c r="A45" s="13"/>
      <c r="B45" s="14"/>
      <c r="C45" s="13"/>
      <c r="D45" s="13"/>
      <c r="E45" s="14"/>
      <c r="F45" s="13"/>
      <c r="G45" s="14"/>
      <c r="H45" s="15"/>
      <c r="I45" s="15"/>
    </row>
    <row r="46" spans="1:9" ht="15.75" customHeight="1" x14ac:dyDescent="0.2">
      <c r="A46" s="13"/>
      <c r="B46" s="14"/>
      <c r="C46" s="13"/>
      <c r="D46" s="13"/>
      <c r="E46" s="14"/>
      <c r="F46" s="13"/>
      <c r="G46" s="14"/>
      <c r="H46" s="15"/>
      <c r="I46" s="15"/>
    </row>
    <row r="47" spans="1:9" ht="15.75" customHeight="1" x14ac:dyDescent="0.2">
      <c r="A47" s="13"/>
      <c r="B47" s="14"/>
      <c r="C47" s="13"/>
      <c r="D47" s="13"/>
      <c r="E47" s="14"/>
      <c r="F47" s="13"/>
      <c r="G47" s="14"/>
      <c r="H47" s="15"/>
      <c r="I47" s="15"/>
    </row>
    <row r="48" spans="1:9" ht="15.75" customHeight="1" x14ac:dyDescent="0.2">
      <c r="A48" s="13"/>
      <c r="B48" s="14"/>
      <c r="C48" s="13"/>
      <c r="D48" s="13"/>
      <c r="E48" s="14"/>
      <c r="F48" s="13"/>
      <c r="G48" s="14"/>
      <c r="H48" s="15"/>
      <c r="I48" s="15"/>
    </row>
    <row r="49" spans="1:9" ht="15.75" customHeight="1" x14ac:dyDescent="0.2">
      <c r="A49" s="13"/>
      <c r="B49" s="14"/>
      <c r="C49" s="13"/>
      <c r="D49" s="13"/>
      <c r="E49" s="14"/>
      <c r="F49" s="13"/>
      <c r="G49" s="14"/>
      <c r="H49" s="15"/>
      <c r="I49" s="15"/>
    </row>
    <row r="50" spans="1:9" ht="15.75" customHeight="1" x14ac:dyDescent="0.2">
      <c r="A50" s="13"/>
      <c r="B50" s="14"/>
      <c r="C50" s="13"/>
      <c r="D50" s="13"/>
      <c r="E50" s="14"/>
      <c r="F50" s="13"/>
      <c r="G50" s="14"/>
      <c r="H50" s="15"/>
      <c r="I50" s="15"/>
    </row>
    <row r="51" spans="1:9" ht="15.75" customHeight="1" x14ac:dyDescent="0.2">
      <c r="A51" s="13"/>
      <c r="B51" s="14"/>
      <c r="C51" s="13"/>
      <c r="D51" s="13"/>
      <c r="E51" s="14"/>
      <c r="F51" s="13"/>
      <c r="G51" s="14"/>
      <c r="H51" s="15"/>
      <c r="I51" s="15"/>
    </row>
    <row r="52" spans="1:9" ht="15.75" customHeight="1" x14ac:dyDescent="0.2">
      <c r="A52" s="13"/>
      <c r="B52" s="14"/>
      <c r="C52" s="13"/>
      <c r="D52" s="13"/>
      <c r="E52" s="14"/>
      <c r="F52" s="13"/>
      <c r="G52" s="14"/>
      <c r="H52" s="15"/>
      <c r="I52" s="15"/>
    </row>
    <row r="53" spans="1:9" ht="15.75" customHeight="1" x14ac:dyDescent="0.2">
      <c r="A53" s="13"/>
      <c r="B53" s="14"/>
      <c r="C53" s="13"/>
      <c r="D53" s="13"/>
      <c r="E53" s="14"/>
      <c r="F53" s="13"/>
      <c r="G53" s="14"/>
      <c r="H53" s="15"/>
      <c r="I53" s="15"/>
    </row>
    <row r="54" spans="1:9" ht="15.75" customHeight="1" x14ac:dyDescent="0.2">
      <c r="A54" s="13"/>
      <c r="B54" s="14"/>
      <c r="C54" s="13"/>
      <c r="D54" s="13"/>
      <c r="E54" s="14"/>
      <c r="F54" s="13"/>
      <c r="G54" s="14"/>
      <c r="H54" s="15"/>
      <c r="I54" s="15"/>
    </row>
    <row r="55" spans="1:9" ht="15.75" customHeight="1" x14ac:dyDescent="0.2">
      <c r="A55" s="13"/>
      <c r="B55" s="14"/>
      <c r="C55" s="13"/>
      <c r="D55" s="13"/>
      <c r="E55" s="14"/>
      <c r="F55" s="13"/>
      <c r="G55" s="14"/>
      <c r="H55" s="15"/>
      <c r="I55" s="15"/>
    </row>
    <row r="56" spans="1:9" ht="15.75" customHeight="1" x14ac:dyDescent="0.2">
      <c r="A56" s="13"/>
      <c r="B56" s="14"/>
      <c r="C56" s="13"/>
      <c r="D56" s="13"/>
      <c r="E56" s="14"/>
      <c r="F56" s="13"/>
      <c r="G56" s="14"/>
      <c r="H56" s="15"/>
      <c r="I56" s="15"/>
    </row>
    <row r="57" spans="1:9" ht="15.75" customHeight="1" x14ac:dyDescent="0.2">
      <c r="A57" s="13"/>
      <c r="B57" s="14"/>
      <c r="C57" s="13"/>
      <c r="D57" s="13"/>
      <c r="E57" s="14"/>
      <c r="F57" s="13"/>
      <c r="G57" s="14"/>
      <c r="H57" s="15"/>
      <c r="I57" s="15"/>
    </row>
    <row r="58" spans="1:9" ht="15.75" customHeight="1" x14ac:dyDescent="0.2">
      <c r="A58" s="13"/>
      <c r="B58" s="14"/>
      <c r="C58" s="13"/>
      <c r="D58" s="13"/>
      <c r="E58" s="14"/>
      <c r="F58" s="13"/>
      <c r="G58" s="14"/>
      <c r="H58" s="15"/>
      <c r="I58" s="15"/>
    </row>
    <row r="59" spans="1:9" ht="15.75" customHeight="1" x14ac:dyDescent="0.2">
      <c r="A59" s="13"/>
      <c r="B59" s="14"/>
      <c r="C59" s="13"/>
      <c r="D59" s="13"/>
      <c r="E59" s="14"/>
      <c r="F59" s="13"/>
      <c r="G59" s="14"/>
      <c r="H59" s="15"/>
      <c r="I59" s="15"/>
    </row>
    <row r="60" spans="1:9" ht="15.75" customHeight="1" x14ac:dyDescent="0.2">
      <c r="A60" s="13"/>
      <c r="B60" s="14"/>
      <c r="C60" s="13"/>
      <c r="D60" s="13"/>
      <c r="E60" s="14"/>
      <c r="F60" s="13"/>
      <c r="G60" s="14"/>
      <c r="H60" s="15"/>
      <c r="I60" s="15"/>
    </row>
    <row r="61" spans="1:9" ht="15.75" customHeight="1" x14ac:dyDescent="0.2">
      <c r="A61" s="13"/>
      <c r="B61" s="14"/>
      <c r="C61" s="13"/>
      <c r="D61" s="13"/>
      <c r="E61" s="14"/>
      <c r="F61" s="13"/>
      <c r="G61" s="14"/>
      <c r="H61" s="15"/>
      <c r="I61" s="15"/>
    </row>
    <row r="62" spans="1:9" ht="15.75" customHeight="1" x14ac:dyDescent="0.2">
      <c r="A62" s="13"/>
      <c r="B62" s="14"/>
      <c r="C62" s="13"/>
      <c r="D62" s="13"/>
      <c r="E62" s="14"/>
      <c r="F62" s="13"/>
      <c r="G62" s="14"/>
      <c r="H62" s="15"/>
      <c r="I62" s="15"/>
    </row>
    <row r="63" spans="1:9" ht="15.75" customHeight="1" x14ac:dyDescent="0.2">
      <c r="A63" s="13"/>
      <c r="B63" s="14"/>
      <c r="C63" s="13"/>
      <c r="D63" s="13"/>
      <c r="E63" s="14"/>
      <c r="F63" s="13"/>
      <c r="G63" s="14"/>
      <c r="H63" s="15"/>
      <c r="I63" s="15"/>
    </row>
    <row r="64" spans="1:9" ht="15.75" customHeight="1" x14ac:dyDescent="0.2">
      <c r="A64" s="13"/>
      <c r="B64" s="14"/>
      <c r="C64" s="13"/>
      <c r="D64" s="13"/>
      <c r="E64" s="14"/>
      <c r="F64" s="13"/>
      <c r="G64" s="14"/>
      <c r="H64" s="15"/>
      <c r="I64" s="15"/>
    </row>
    <row r="65" spans="1:9" ht="15.75" customHeight="1" x14ac:dyDescent="0.2">
      <c r="A65" s="13"/>
      <c r="B65" s="14"/>
      <c r="C65" s="13"/>
      <c r="D65" s="13"/>
      <c r="E65" s="14"/>
      <c r="F65" s="13"/>
      <c r="G65" s="14"/>
      <c r="H65" s="15"/>
      <c r="I65" s="15"/>
    </row>
    <row r="66" spans="1:9" ht="15.75" customHeight="1" x14ac:dyDescent="0.2">
      <c r="A66" s="13"/>
      <c r="B66" s="14"/>
      <c r="C66" s="13"/>
      <c r="D66" s="13"/>
      <c r="E66" s="14"/>
      <c r="F66" s="13"/>
      <c r="G66" s="14"/>
      <c r="H66" s="15"/>
      <c r="I66" s="15"/>
    </row>
    <row r="67" spans="1:9" ht="15.75" customHeight="1" x14ac:dyDescent="0.2">
      <c r="A67" s="13"/>
      <c r="B67" s="14"/>
      <c r="C67" s="13"/>
      <c r="D67" s="13"/>
      <c r="E67" s="14"/>
      <c r="F67" s="13"/>
      <c r="G67" s="14"/>
      <c r="H67" s="15"/>
      <c r="I67" s="15"/>
    </row>
    <row r="68" spans="1:9" ht="15.75" customHeight="1" x14ac:dyDescent="0.2">
      <c r="A68" s="13"/>
      <c r="B68" s="14"/>
      <c r="C68" s="13"/>
      <c r="D68" s="13"/>
      <c r="E68" s="14"/>
      <c r="F68" s="13"/>
      <c r="G68" s="14"/>
      <c r="H68" s="15"/>
      <c r="I68" s="15"/>
    </row>
    <row r="69" spans="1:9" ht="15.75" customHeight="1" x14ac:dyDescent="0.2">
      <c r="A69" s="13"/>
      <c r="B69" s="14"/>
      <c r="C69" s="13"/>
      <c r="D69" s="13"/>
      <c r="E69" s="14"/>
      <c r="F69" s="13"/>
      <c r="G69" s="14"/>
      <c r="H69" s="15"/>
      <c r="I69" s="15"/>
    </row>
    <row r="70" spans="1:9" ht="15.75" customHeight="1" x14ac:dyDescent="0.2">
      <c r="A70" s="13"/>
      <c r="B70" s="14"/>
      <c r="C70" s="13"/>
      <c r="D70" s="13"/>
      <c r="E70" s="14"/>
      <c r="F70" s="13"/>
      <c r="G70" s="14"/>
      <c r="H70" s="15"/>
      <c r="I70" s="15"/>
    </row>
    <row r="71" spans="1:9" ht="15.75" customHeight="1" x14ac:dyDescent="0.2">
      <c r="A71" s="13"/>
      <c r="B71" s="14"/>
      <c r="C71" s="13"/>
      <c r="D71" s="13"/>
      <c r="E71" s="14"/>
      <c r="F71" s="13"/>
      <c r="G71" s="14"/>
      <c r="H71" s="15"/>
      <c r="I71" s="15"/>
    </row>
    <row r="72" spans="1:9" ht="15.75" customHeight="1" x14ac:dyDescent="0.2">
      <c r="A72" s="13"/>
      <c r="B72" s="14"/>
      <c r="C72" s="13"/>
      <c r="D72" s="13"/>
      <c r="E72" s="14"/>
      <c r="F72" s="13"/>
      <c r="G72" s="14"/>
      <c r="H72" s="15"/>
      <c r="I72" s="15"/>
    </row>
    <row r="73" spans="1:9" ht="15.75" customHeight="1" x14ac:dyDescent="0.2">
      <c r="A73" s="13"/>
      <c r="B73" s="14"/>
      <c r="C73" s="13"/>
      <c r="D73" s="13"/>
      <c r="E73" s="14"/>
      <c r="F73" s="13"/>
      <c r="G73" s="14"/>
      <c r="H73" s="15"/>
      <c r="I73" s="15"/>
    </row>
    <row r="74" spans="1:9" ht="15.75" customHeight="1" x14ac:dyDescent="0.2">
      <c r="A74" s="13"/>
      <c r="B74" s="14"/>
      <c r="C74" s="13"/>
      <c r="D74" s="13"/>
      <c r="E74" s="14"/>
      <c r="F74" s="13"/>
      <c r="G74" s="14"/>
      <c r="H74" s="15"/>
      <c r="I74" s="15"/>
    </row>
    <row r="75" spans="1:9" ht="15.75" customHeight="1" x14ac:dyDescent="0.2">
      <c r="A75" s="13"/>
      <c r="B75" s="14"/>
      <c r="C75" s="13"/>
      <c r="D75" s="13"/>
      <c r="E75" s="14"/>
      <c r="F75" s="13"/>
      <c r="G75" s="14"/>
      <c r="H75" s="15"/>
      <c r="I75" s="15"/>
    </row>
    <row r="76" spans="1:9" ht="15.75" customHeight="1" x14ac:dyDescent="0.2">
      <c r="A76" s="13"/>
      <c r="B76" s="14"/>
      <c r="C76" s="13"/>
      <c r="D76" s="13"/>
      <c r="E76" s="14"/>
      <c r="F76" s="13"/>
      <c r="G76" s="14"/>
      <c r="H76" s="15"/>
      <c r="I76" s="15"/>
    </row>
    <row r="77" spans="1:9" ht="15.75" customHeight="1" x14ac:dyDescent="0.2">
      <c r="A77" s="13"/>
      <c r="B77" s="14"/>
      <c r="C77" s="13"/>
      <c r="D77" s="13"/>
      <c r="E77" s="14"/>
      <c r="F77" s="13"/>
      <c r="G77" s="14"/>
      <c r="H77" s="15"/>
      <c r="I77" s="15"/>
    </row>
    <row r="78" spans="1:9" ht="15.75" customHeight="1" x14ac:dyDescent="0.2">
      <c r="A78" s="13"/>
      <c r="B78" s="14"/>
      <c r="C78" s="13"/>
      <c r="D78" s="13"/>
      <c r="E78" s="14"/>
      <c r="F78" s="13"/>
      <c r="G78" s="14"/>
      <c r="H78" s="15"/>
      <c r="I78" s="15"/>
    </row>
    <row r="79" spans="1:9" ht="15.75" customHeight="1" x14ac:dyDescent="0.2">
      <c r="A79" s="13"/>
      <c r="B79" s="14"/>
      <c r="C79" s="13"/>
      <c r="D79" s="13"/>
      <c r="E79" s="14"/>
      <c r="F79" s="13"/>
      <c r="G79" s="14"/>
      <c r="H79" s="15"/>
      <c r="I79" s="15"/>
    </row>
    <row r="80" spans="1:9" ht="15.75" customHeight="1" x14ac:dyDescent="0.2">
      <c r="A80" s="13"/>
      <c r="B80" s="14"/>
      <c r="C80" s="13"/>
      <c r="D80" s="13"/>
      <c r="E80" s="14"/>
      <c r="F80" s="13"/>
      <c r="G80" s="14"/>
      <c r="H80" s="15"/>
      <c r="I80" s="15"/>
    </row>
    <row r="81" spans="1:9" ht="15.75" customHeight="1" x14ac:dyDescent="0.2">
      <c r="A81" s="13"/>
      <c r="B81" s="14"/>
      <c r="C81" s="13"/>
      <c r="D81" s="13"/>
      <c r="E81" s="14"/>
      <c r="F81" s="13"/>
      <c r="G81" s="14"/>
      <c r="H81" s="15"/>
      <c r="I81" s="15"/>
    </row>
    <row r="82" spans="1:9" ht="15.75" customHeight="1" x14ac:dyDescent="0.2">
      <c r="A82" s="13"/>
      <c r="B82" s="14"/>
      <c r="C82" s="13"/>
      <c r="D82" s="13"/>
      <c r="E82" s="14"/>
      <c r="F82" s="13"/>
      <c r="G82" s="14"/>
      <c r="H82" s="15"/>
      <c r="I82" s="15"/>
    </row>
    <row r="83" spans="1:9" ht="15.75" customHeight="1" x14ac:dyDescent="0.2">
      <c r="A83" s="13"/>
      <c r="B83" s="14"/>
      <c r="C83" s="13"/>
      <c r="D83" s="13"/>
      <c r="E83" s="14"/>
      <c r="F83" s="13"/>
      <c r="G83" s="14"/>
      <c r="H83" s="15"/>
      <c r="I83" s="15"/>
    </row>
    <row r="84" spans="1:9" ht="15.75" customHeight="1" x14ac:dyDescent="0.2">
      <c r="A84" s="13"/>
      <c r="B84" s="14"/>
      <c r="C84" s="13"/>
      <c r="D84" s="13"/>
      <c r="E84" s="14"/>
      <c r="F84" s="13"/>
      <c r="G84" s="14"/>
      <c r="H84" s="15"/>
      <c r="I84" s="15"/>
    </row>
    <row r="85" spans="1:9" ht="15.75" customHeight="1" x14ac:dyDescent="0.2">
      <c r="A85" s="13"/>
      <c r="B85" s="14"/>
      <c r="C85" s="13"/>
      <c r="D85" s="13"/>
      <c r="E85" s="14"/>
      <c r="F85" s="13"/>
      <c r="G85" s="14"/>
      <c r="H85" s="15"/>
      <c r="I85" s="15"/>
    </row>
    <row r="86" spans="1:9" ht="15.75" customHeight="1" x14ac:dyDescent="0.2">
      <c r="A86" s="13"/>
      <c r="B86" s="14"/>
      <c r="C86" s="13"/>
      <c r="D86" s="13"/>
      <c r="E86" s="14"/>
      <c r="F86" s="13"/>
      <c r="G86" s="14"/>
      <c r="H86" s="15"/>
      <c r="I86" s="15"/>
    </row>
    <row r="87" spans="1:9" ht="15.75" customHeight="1" x14ac:dyDescent="0.2">
      <c r="A87" s="13"/>
      <c r="B87" s="14"/>
      <c r="C87" s="13"/>
      <c r="D87" s="13"/>
      <c r="E87" s="14"/>
      <c r="F87" s="13"/>
      <c r="G87" s="14"/>
      <c r="H87" s="15"/>
      <c r="I87" s="15"/>
    </row>
    <row r="88" spans="1:9" ht="15.75" customHeight="1" x14ac:dyDescent="0.2">
      <c r="A88" s="13"/>
      <c r="B88" s="14"/>
      <c r="C88" s="13"/>
      <c r="D88" s="13"/>
      <c r="E88" s="14"/>
      <c r="F88" s="13"/>
      <c r="G88" s="14"/>
      <c r="H88" s="15"/>
      <c r="I88" s="15"/>
    </row>
    <row r="89" spans="1:9" ht="15.75" customHeight="1" x14ac:dyDescent="0.2">
      <c r="A89" s="13"/>
      <c r="B89" s="14"/>
      <c r="C89" s="13"/>
      <c r="D89" s="13"/>
      <c r="E89" s="14"/>
      <c r="F89" s="13"/>
      <c r="G89" s="14"/>
      <c r="H89" s="15"/>
      <c r="I89" s="15"/>
    </row>
    <row r="90" spans="1:9" ht="15.75" customHeight="1" x14ac:dyDescent="0.2">
      <c r="A90" s="13"/>
      <c r="B90" s="14"/>
      <c r="C90" s="13"/>
      <c r="D90" s="13"/>
      <c r="E90" s="14"/>
      <c r="F90" s="13"/>
      <c r="G90" s="14"/>
      <c r="H90" s="15"/>
      <c r="I90" s="15"/>
    </row>
    <row r="91" spans="1:9" ht="15.75" customHeight="1" x14ac:dyDescent="0.2">
      <c r="A91" s="13"/>
      <c r="B91" s="14"/>
      <c r="C91" s="13"/>
      <c r="D91" s="13"/>
      <c r="E91" s="14"/>
      <c r="F91" s="13"/>
      <c r="G91" s="14"/>
      <c r="H91" s="15"/>
      <c r="I91" s="15"/>
    </row>
    <row r="92" spans="1:9" ht="15.75" customHeight="1" x14ac:dyDescent="0.2">
      <c r="A92" s="13"/>
      <c r="B92" s="14"/>
      <c r="C92" s="13"/>
      <c r="D92" s="13"/>
      <c r="E92" s="14"/>
      <c r="F92" s="13"/>
      <c r="G92" s="14"/>
      <c r="H92" s="15"/>
      <c r="I92" s="15"/>
    </row>
    <row r="93" spans="1:9" ht="15.75" customHeight="1" x14ac:dyDescent="0.2">
      <c r="A93" s="13"/>
      <c r="B93" s="14"/>
      <c r="C93" s="13"/>
      <c r="D93" s="13"/>
      <c r="E93" s="14"/>
      <c r="F93" s="13"/>
      <c r="G93" s="14"/>
      <c r="H93" s="15"/>
      <c r="I93" s="15"/>
    </row>
    <row r="94" spans="1:9" ht="15.75" customHeight="1" x14ac:dyDescent="0.2">
      <c r="A94" s="13"/>
      <c r="B94" s="14"/>
      <c r="C94" s="13"/>
      <c r="D94" s="13"/>
      <c r="E94" s="14"/>
      <c r="F94" s="13"/>
      <c r="G94" s="14"/>
      <c r="H94" s="15"/>
      <c r="I94" s="15"/>
    </row>
    <row r="95" spans="1:9" ht="15.75" customHeight="1" x14ac:dyDescent="0.2">
      <c r="A95" s="13"/>
      <c r="B95" s="14"/>
      <c r="C95" s="13"/>
      <c r="D95" s="13"/>
      <c r="E95" s="14"/>
      <c r="F95" s="13"/>
      <c r="G95" s="14"/>
      <c r="H95" s="15"/>
      <c r="I95" s="15"/>
    </row>
    <row r="96" spans="1:9" ht="15.75" customHeight="1" x14ac:dyDescent="0.2">
      <c r="A96" s="13"/>
      <c r="B96" s="14"/>
      <c r="C96" s="13"/>
      <c r="D96" s="13"/>
      <c r="E96" s="14"/>
      <c r="F96" s="13"/>
      <c r="G96" s="14"/>
      <c r="H96" s="15"/>
      <c r="I96" s="15"/>
    </row>
    <row r="97" spans="1:9" ht="15.75" customHeight="1" x14ac:dyDescent="0.2">
      <c r="A97" s="13"/>
      <c r="B97" s="14"/>
      <c r="C97" s="13"/>
      <c r="D97" s="13"/>
      <c r="E97" s="14"/>
      <c r="F97" s="13"/>
      <c r="G97" s="14"/>
      <c r="H97" s="15"/>
      <c r="I97" s="15"/>
    </row>
    <row r="98" spans="1:9" ht="15.75" customHeight="1" x14ac:dyDescent="0.2">
      <c r="A98" s="13"/>
      <c r="B98" s="14"/>
      <c r="C98" s="13"/>
      <c r="D98" s="13"/>
      <c r="E98" s="14"/>
      <c r="F98" s="13"/>
      <c r="G98" s="14"/>
      <c r="H98" s="15"/>
      <c r="I98" s="15"/>
    </row>
    <row r="99" spans="1:9" ht="15.75" customHeight="1" x14ac:dyDescent="0.2">
      <c r="A99" s="13"/>
      <c r="B99" s="14"/>
      <c r="C99" s="13"/>
      <c r="D99" s="13"/>
      <c r="E99" s="14"/>
      <c r="F99" s="13"/>
      <c r="G99" s="14"/>
      <c r="H99" s="15"/>
      <c r="I99" s="15"/>
    </row>
    <row r="100" spans="1:9" ht="15.75" customHeight="1" x14ac:dyDescent="0.2">
      <c r="A100" s="13"/>
      <c r="B100" s="14"/>
      <c r="C100" s="13"/>
      <c r="D100" s="13"/>
      <c r="E100" s="14"/>
      <c r="F100" s="13"/>
      <c r="G100" s="14"/>
      <c r="H100" s="15"/>
      <c r="I100" s="15"/>
    </row>
    <row r="101" spans="1:9" ht="15.75" customHeight="1" x14ac:dyDescent="0.2">
      <c r="A101" s="13"/>
      <c r="B101" s="14"/>
      <c r="C101" s="13"/>
      <c r="D101" s="13"/>
      <c r="E101" s="14"/>
      <c r="F101" s="13"/>
      <c r="G101" s="14"/>
      <c r="H101" s="15"/>
      <c r="I101" s="15"/>
    </row>
    <row r="102" spans="1:9" ht="15.75" customHeight="1" x14ac:dyDescent="0.2">
      <c r="A102" s="13"/>
      <c r="B102" s="14"/>
      <c r="C102" s="13"/>
      <c r="D102" s="13"/>
      <c r="E102" s="14"/>
      <c r="F102" s="13"/>
      <c r="G102" s="14"/>
      <c r="H102" s="15"/>
      <c r="I102" s="15"/>
    </row>
    <row r="103" spans="1:9" ht="15.75" customHeight="1" x14ac:dyDescent="0.2">
      <c r="A103" s="13"/>
      <c r="B103" s="14"/>
      <c r="C103" s="13"/>
      <c r="D103" s="13"/>
      <c r="E103" s="14"/>
      <c r="F103" s="13"/>
      <c r="G103" s="14"/>
      <c r="H103" s="15"/>
      <c r="I103" s="15"/>
    </row>
    <row r="104" spans="1:9" ht="15.75" customHeight="1" x14ac:dyDescent="0.2">
      <c r="A104" s="13"/>
      <c r="B104" s="14"/>
      <c r="C104" s="13"/>
      <c r="D104" s="13"/>
      <c r="E104" s="14"/>
      <c r="F104" s="13"/>
      <c r="G104" s="14"/>
      <c r="H104" s="15"/>
      <c r="I104" s="15"/>
    </row>
    <row r="105" spans="1:9" ht="15.75" customHeight="1" x14ac:dyDescent="0.2">
      <c r="A105" s="13"/>
      <c r="B105" s="14"/>
      <c r="C105" s="13"/>
      <c r="D105" s="13"/>
      <c r="E105" s="14"/>
      <c r="F105" s="13"/>
      <c r="G105" s="14"/>
      <c r="H105" s="15"/>
      <c r="I105" s="15"/>
    </row>
    <row r="106" spans="1:9" ht="15.75" customHeight="1" x14ac:dyDescent="0.2">
      <c r="A106" s="13"/>
      <c r="B106" s="14"/>
      <c r="C106" s="13"/>
      <c r="D106" s="13"/>
      <c r="E106" s="14"/>
      <c r="F106" s="13"/>
      <c r="G106" s="14"/>
      <c r="H106" s="15"/>
      <c r="I106" s="15"/>
    </row>
    <row r="107" spans="1:9" ht="15.75" customHeight="1" x14ac:dyDescent="0.2">
      <c r="A107" s="13"/>
      <c r="B107" s="14"/>
      <c r="C107" s="13"/>
      <c r="D107" s="13"/>
      <c r="E107" s="14"/>
      <c r="F107" s="13"/>
      <c r="G107" s="14"/>
      <c r="H107" s="15"/>
      <c r="I107" s="15"/>
    </row>
    <row r="108" spans="1:9" ht="15.75" customHeight="1" x14ac:dyDescent="0.2">
      <c r="A108" s="13"/>
      <c r="B108" s="14"/>
      <c r="C108" s="13"/>
      <c r="D108" s="13"/>
      <c r="E108" s="14"/>
      <c r="F108" s="13"/>
      <c r="G108" s="14"/>
      <c r="H108" s="15"/>
      <c r="I108" s="15"/>
    </row>
    <row r="109" spans="1:9" ht="15.75" customHeight="1" x14ac:dyDescent="0.2">
      <c r="A109" s="13"/>
      <c r="B109" s="14"/>
      <c r="C109" s="13"/>
      <c r="D109" s="13"/>
      <c r="E109" s="14"/>
      <c r="F109" s="13"/>
      <c r="G109" s="14"/>
      <c r="H109" s="15"/>
      <c r="I109" s="15"/>
    </row>
    <row r="110" spans="1:9" ht="15.75" customHeight="1" x14ac:dyDescent="0.2">
      <c r="A110" s="13"/>
      <c r="B110" s="14"/>
      <c r="C110" s="13"/>
      <c r="D110" s="13"/>
      <c r="E110" s="14"/>
      <c r="F110" s="13"/>
      <c r="G110" s="14"/>
      <c r="H110" s="15"/>
      <c r="I110" s="15"/>
    </row>
    <row r="111" spans="1:9" ht="15.75" customHeight="1" x14ac:dyDescent="0.2">
      <c r="A111" s="13"/>
      <c r="B111" s="14"/>
      <c r="C111" s="13"/>
      <c r="D111" s="13"/>
      <c r="E111" s="14"/>
      <c r="F111" s="13"/>
      <c r="G111" s="14"/>
      <c r="H111" s="15"/>
      <c r="I111" s="15"/>
    </row>
    <row r="112" spans="1:9" ht="15.75" customHeight="1" x14ac:dyDescent="0.2">
      <c r="A112" s="13"/>
      <c r="B112" s="14"/>
      <c r="C112" s="13"/>
      <c r="D112" s="13"/>
      <c r="E112" s="14"/>
      <c r="F112" s="13"/>
      <c r="G112" s="14"/>
      <c r="H112" s="15"/>
      <c r="I112" s="15"/>
    </row>
    <row r="113" spans="1:9" ht="15.75" customHeight="1" x14ac:dyDescent="0.2">
      <c r="A113" s="13"/>
      <c r="B113" s="14"/>
      <c r="C113" s="13"/>
      <c r="D113" s="13"/>
      <c r="E113" s="14"/>
      <c r="F113" s="13"/>
      <c r="G113" s="14"/>
      <c r="H113" s="15"/>
      <c r="I113" s="15"/>
    </row>
    <row r="114" spans="1:9" ht="15.75" customHeight="1" x14ac:dyDescent="0.2">
      <c r="A114" s="13"/>
      <c r="B114" s="14"/>
      <c r="C114" s="13"/>
      <c r="D114" s="13"/>
      <c r="E114" s="14"/>
      <c r="F114" s="13"/>
      <c r="G114" s="14"/>
      <c r="H114" s="15"/>
      <c r="I114" s="15"/>
    </row>
    <row r="115" spans="1:9" ht="15.75" customHeight="1" x14ac:dyDescent="0.2">
      <c r="A115" s="13"/>
      <c r="B115" s="14"/>
      <c r="C115" s="13"/>
      <c r="D115" s="13"/>
      <c r="E115" s="14"/>
      <c r="F115" s="13"/>
      <c r="G115" s="14"/>
      <c r="H115" s="15"/>
      <c r="I115" s="15"/>
    </row>
    <row r="116" spans="1:9" ht="15.75" customHeight="1" x14ac:dyDescent="0.2">
      <c r="A116" s="13"/>
      <c r="B116" s="14"/>
      <c r="C116" s="13"/>
      <c r="D116" s="13"/>
      <c r="E116" s="14"/>
      <c r="F116" s="13"/>
      <c r="G116" s="14"/>
      <c r="H116" s="15"/>
      <c r="I116" s="15"/>
    </row>
    <row r="117" spans="1:9" ht="15.75" customHeight="1" x14ac:dyDescent="0.2">
      <c r="A117" s="13"/>
      <c r="B117" s="14"/>
      <c r="C117" s="13"/>
      <c r="D117" s="13"/>
      <c r="E117" s="14"/>
      <c r="F117" s="13"/>
      <c r="G117" s="14"/>
      <c r="H117" s="15"/>
      <c r="I117" s="15"/>
    </row>
    <row r="118" spans="1:9" ht="15.75" customHeight="1" x14ac:dyDescent="0.2">
      <c r="A118" s="13"/>
      <c r="B118" s="14"/>
      <c r="C118" s="13"/>
      <c r="D118" s="13"/>
      <c r="E118" s="14"/>
      <c r="F118" s="13"/>
      <c r="G118" s="14"/>
      <c r="H118" s="15"/>
      <c r="I118" s="15"/>
    </row>
    <row r="119" spans="1:9" ht="15.75" customHeight="1" x14ac:dyDescent="0.2">
      <c r="A119" s="13"/>
      <c r="B119" s="14"/>
      <c r="C119" s="13"/>
      <c r="D119" s="13"/>
      <c r="E119" s="14"/>
      <c r="F119" s="13"/>
      <c r="G119" s="14"/>
      <c r="H119" s="15"/>
      <c r="I119" s="15"/>
    </row>
    <row r="120" spans="1:9" ht="15.75" customHeight="1" x14ac:dyDescent="0.2">
      <c r="A120" s="13"/>
      <c r="B120" s="14"/>
      <c r="C120" s="13"/>
      <c r="D120" s="13"/>
      <c r="E120" s="14"/>
      <c r="F120" s="13"/>
      <c r="G120" s="14"/>
      <c r="H120" s="15"/>
      <c r="I120" s="15"/>
    </row>
    <row r="121" spans="1:9" ht="15.75" customHeight="1" x14ac:dyDescent="0.2">
      <c r="A121" s="13"/>
      <c r="B121" s="14"/>
      <c r="C121" s="13"/>
      <c r="D121" s="13"/>
      <c r="E121" s="14"/>
      <c r="F121" s="13"/>
      <c r="G121" s="14"/>
      <c r="H121" s="15"/>
      <c r="I121" s="15"/>
    </row>
    <row r="122" spans="1:9" ht="15.75" customHeight="1" x14ac:dyDescent="0.2">
      <c r="A122" s="13"/>
      <c r="B122" s="14"/>
      <c r="C122" s="13"/>
      <c r="D122" s="13"/>
      <c r="E122" s="14"/>
      <c r="F122" s="13"/>
      <c r="G122" s="14"/>
      <c r="H122" s="15"/>
      <c r="I122" s="15"/>
    </row>
    <row r="123" spans="1:9" ht="15.75" customHeight="1" x14ac:dyDescent="0.2">
      <c r="A123" s="13"/>
      <c r="B123" s="14"/>
      <c r="C123" s="13"/>
      <c r="D123" s="13"/>
      <c r="E123" s="14"/>
      <c r="F123" s="13"/>
      <c r="G123" s="14"/>
      <c r="H123" s="15"/>
      <c r="I123" s="15"/>
    </row>
    <row r="124" spans="1:9" ht="15.75" customHeight="1" x14ac:dyDescent="0.2">
      <c r="A124" s="13"/>
      <c r="B124" s="14"/>
      <c r="C124" s="13"/>
      <c r="D124" s="13"/>
      <c r="E124" s="14"/>
      <c r="F124" s="13"/>
      <c r="G124" s="14"/>
      <c r="H124" s="15"/>
      <c r="I124" s="15"/>
    </row>
    <row r="125" spans="1:9" ht="15.75" customHeight="1" x14ac:dyDescent="0.2">
      <c r="A125" s="13"/>
      <c r="B125" s="14"/>
      <c r="C125" s="13"/>
      <c r="D125" s="13"/>
      <c r="E125" s="14"/>
      <c r="F125" s="13"/>
      <c r="G125" s="14"/>
      <c r="H125" s="15"/>
      <c r="I125" s="15"/>
    </row>
    <row r="126" spans="1:9" ht="15.75" customHeight="1" x14ac:dyDescent="0.2">
      <c r="A126" s="13"/>
      <c r="B126" s="14"/>
      <c r="C126" s="13"/>
      <c r="D126" s="13"/>
      <c r="E126" s="14"/>
      <c r="F126" s="13"/>
      <c r="G126" s="14"/>
      <c r="H126" s="15"/>
      <c r="I126" s="15"/>
    </row>
    <row r="127" spans="1:9" ht="15.75" customHeight="1" x14ac:dyDescent="0.2">
      <c r="A127" s="13"/>
      <c r="B127" s="14"/>
      <c r="C127" s="13"/>
      <c r="D127" s="13"/>
      <c r="E127" s="14"/>
      <c r="F127" s="13"/>
      <c r="G127" s="14"/>
      <c r="H127" s="15"/>
      <c r="I127" s="15"/>
    </row>
    <row r="128" spans="1:9" ht="15.75" customHeight="1" x14ac:dyDescent="0.2">
      <c r="A128" s="13"/>
      <c r="B128" s="14"/>
      <c r="C128" s="13"/>
      <c r="D128" s="13"/>
      <c r="E128" s="14"/>
      <c r="F128" s="13"/>
      <c r="G128" s="14"/>
      <c r="H128" s="15"/>
      <c r="I128" s="15"/>
    </row>
    <row r="129" spans="1:9" ht="15.75" customHeight="1" x14ac:dyDescent="0.2">
      <c r="A129" s="13"/>
      <c r="B129" s="14"/>
      <c r="C129" s="13"/>
      <c r="D129" s="13"/>
      <c r="E129" s="14"/>
      <c r="F129" s="13"/>
      <c r="G129" s="14"/>
      <c r="H129" s="15"/>
      <c r="I129" s="15"/>
    </row>
    <row r="130" spans="1:9" ht="15.75" customHeight="1" x14ac:dyDescent="0.2">
      <c r="A130" s="13"/>
      <c r="B130" s="14"/>
      <c r="C130" s="13"/>
      <c r="D130" s="13"/>
      <c r="E130" s="14"/>
      <c r="F130" s="13"/>
      <c r="G130" s="14"/>
      <c r="H130" s="15"/>
      <c r="I130" s="15"/>
    </row>
    <row r="131" spans="1:9" ht="15.75" customHeight="1" x14ac:dyDescent="0.2">
      <c r="A131" s="13"/>
      <c r="B131" s="14"/>
      <c r="C131" s="13"/>
      <c r="D131" s="13"/>
      <c r="E131" s="14"/>
      <c r="F131" s="13"/>
      <c r="G131" s="14"/>
      <c r="H131" s="15"/>
      <c r="I131" s="15"/>
    </row>
    <row r="132" spans="1:9" ht="15.75" customHeight="1" x14ac:dyDescent="0.2">
      <c r="A132" s="13"/>
      <c r="B132" s="14"/>
      <c r="C132" s="13"/>
      <c r="D132" s="13"/>
      <c r="E132" s="14"/>
      <c r="F132" s="13"/>
      <c r="G132" s="14"/>
      <c r="H132" s="15"/>
      <c r="I132" s="15"/>
    </row>
    <row r="133" spans="1:9" ht="15.75" customHeight="1" x14ac:dyDescent="0.2">
      <c r="A133" s="13"/>
      <c r="B133" s="14"/>
      <c r="C133" s="13"/>
      <c r="D133" s="13"/>
      <c r="E133" s="14"/>
      <c r="F133" s="13"/>
      <c r="G133" s="14"/>
      <c r="H133" s="15"/>
      <c r="I133" s="15"/>
    </row>
    <row r="134" spans="1:9" ht="15.75" customHeight="1" x14ac:dyDescent="0.2">
      <c r="A134" s="13"/>
      <c r="B134" s="14"/>
      <c r="C134" s="13"/>
      <c r="D134" s="13"/>
      <c r="E134" s="14"/>
      <c r="F134" s="13"/>
      <c r="G134" s="14"/>
      <c r="H134" s="15"/>
      <c r="I134" s="15"/>
    </row>
    <row r="135" spans="1:9" ht="15.75" customHeight="1" x14ac:dyDescent="0.2">
      <c r="A135" s="13"/>
      <c r="B135" s="14"/>
      <c r="C135" s="13"/>
      <c r="D135" s="13"/>
      <c r="E135" s="14"/>
      <c r="F135" s="13"/>
      <c r="G135" s="14"/>
      <c r="H135" s="15"/>
      <c r="I135" s="15"/>
    </row>
    <row r="136" spans="1:9" ht="15.75" customHeight="1" x14ac:dyDescent="0.2">
      <c r="A136" s="13"/>
      <c r="B136" s="14"/>
      <c r="C136" s="13"/>
      <c r="D136" s="13"/>
      <c r="E136" s="14"/>
      <c r="F136" s="13"/>
      <c r="G136" s="14"/>
      <c r="H136" s="15"/>
      <c r="I136" s="15"/>
    </row>
    <row r="137" spans="1:9" ht="15.75" customHeight="1" x14ac:dyDescent="0.2">
      <c r="A137" s="13"/>
      <c r="B137" s="14"/>
      <c r="C137" s="13"/>
      <c r="D137" s="13"/>
      <c r="E137" s="14"/>
      <c r="F137" s="13"/>
      <c r="G137" s="14"/>
      <c r="H137" s="15"/>
      <c r="I137" s="15"/>
    </row>
    <row r="138" spans="1:9" ht="15.75" customHeight="1" x14ac:dyDescent="0.2">
      <c r="A138" s="13"/>
      <c r="B138" s="14"/>
      <c r="C138" s="13"/>
      <c r="D138" s="13"/>
      <c r="E138" s="14"/>
      <c r="F138" s="13"/>
      <c r="G138" s="14"/>
      <c r="H138" s="15"/>
      <c r="I138" s="15"/>
    </row>
    <row r="139" spans="1:9" ht="15.75" customHeight="1" x14ac:dyDescent="0.2">
      <c r="A139" s="13"/>
      <c r="B139" s="14"/>
      <c r="C139" s="13"/>
      <c r="D139" s="13"/>
      <c r="E139" s="14"/>
      <c r="F139" s="13"/>
      <c r="G139" s="14"/>
      <c r="H139" s="15"/>
      <c r="I139" s="15"/>
    </row>
    <row r="140" spans="1:9" ht="15.75" customHeight="1" x14ac:dyDescent="0.2">
      <c r="A140" s="13"/>
      <c r="B140" s="14"/>
      <c r="C140" s="13"/>
      <c r="D140" s="13"/>
      <c r="E140" s="14"/>
      <c r="F140" s="13"/>
      <c r="G140" s="14"/>
      <c r="H140" s="15"/>
      <c r="I140" s="15"/>
    </row>
    <row r="141" spans="1:9" ht="15.75" customHeight="1" x14ac:dyDescent="0.2">
      <c r="A141" s="13"/>
      <c r="B141" s="14"/>
      <c r="C141" s="13"/>
      <c r="D141" s="13"/>
      <c r="E141" s="14"/>
      <c r="F141" s="13"/>
      <c r="G141" s="14"/>
      <c r="H141" s="15"/>
      <c r="I141" s="15"/>
    </row>
    <row r="142" spans="1:9" ht="15.75" customHeight="1" x14ac:dyDescent="0.2">
      <c r="A142" s="13"/>
      <c r="B142" s="14"/>
      <c r="C142" s="13"/>
      <c r="D142" s="13"/>
      <c r="E142" s="14"/>
      <c r="F142" s="13"/>
      <c r="G142" s="14"/>
      <c r="H142" s="15"/>
      <c r="I142" s="15"/>
    </row>
    <row r="143" spans="1:9" ht="15.75" customHeight="1" x14ac:dyDescent="0.2">
      <c r="A143" s="13"/>
      <c r="B143" s="14"/>
      <c r="C143" s="13"/>
      <c r="D143" s="13"/>
      <c r="E143" s="14"/>
      <c r="F143" s="13"/>
      <c r="G143" s="14"/>
      <c r="H143" s="15"/>
      <c r="I143" s="15"/>
    </row>
    <row r="144" spans="1:9" ht="15.75" customHeight="1" x14ac:dyDescent="0.2">
      <c r="A144" s="13"/>
      <c r="B144" s="14"/>
      <c r="C144" s="13"/>
      <c r="D144" s="13"/>
      <c r="E144" s="14"/>
      <c r="F144" s="13"/>
      <c r="G144" s="14"/>
      <c r="H144" s="15"/>
      <c r="I144" s="15"/>
    </row>
    <row r="145" spans="1:9" ht="15.75" customHeight="1" x14ac:dyDescent="0.2">
      <c r="A145" s="13"/>
      <c r="B145" s="14"/>
      <c r="C145" s="13"/>
      <c r="D145" s="13"/>
      <c r="E145" s="14"/>
      <c r="F145" s="13"/>
      <c r="G145" s="14"/>
      <c r="H145" s="15"/>
      <c r="I145" s="15"/>
    </row>
    <row r="146" spans="1:9" ht="15.75" customHeight="1" x14ac:dyDescent="0.2">
      <c r="A146" s="13"/>
      <c r="B146" s="14"/>
      <c r="C146" s="13"/>
      <c r="D146" s="13"/>
      <c r="E146" s="14"/>
      <c r="F146" s="13"/>
      <c r="G146" s="14"/>
      <c r="H146" s="15"/>
      <c r="I146" s="15"/>
    </row>
    <row r="147" spans="1:9" ht="15.75" customHeight="1" x14ac:dyDescent="0.2">
      <c r="A147" s="13"/>
      <c r="B147" s="14"/>
      <c r="C147" s="13"/>
      <c r="D147" s="13"/>
      <c r="E147" s="14"/>
      <c r="F147" s="13"/>
      <c r="G147" s="14"/>
      <c r="H147" s="15"/>
      <c r="I147" s="15"/>
    </row>
    <row r="148" spans="1:9" ht="15.75" customHeight="1" x14ac:dyDescent="0.2">
      <c r="A148" s="13"/>
      <c r="B148" s="14"/>
      <c r="C148" s="13"/>
      <c r="D148" s="13"/>
      <c r="E148" s="14"/>
      <c r="F148" s="13"/>
      <c r="G148" s="14"/>
      <c r="H148" s="15"/>
      <c r="I148" s="15"/>
    </row>
    <row r="149" spans="1:9" ht="15.75" customHeight="1" x14ac:dyDescent="0.2">
      <c r="A149" s="13"/>
      <c r="B149" s="14"/>
      <c r="C149" s="13"/>
      <c r="D149" s="13"/>
      <c r="E149" s="14"/>
      <c r="F149" s="13"/>
      <c r="G149" s="14"/>
      <c r="H149" s="15"/>
      <c r="I149" s="15"/>
    </row>
    <row r="150" spans="1:9" ht="15.75" customHeight="1" x14ac:dyDescent="0.2">
      <c r="A150" s="13"/>
      <c r="B150" s="14"/>
      <c r="C150" s="13"/>
      <c r="D150" s="13"/>
      <c r="E150" s="14"/>
      <c r="F150" s="13"/>
      <c r="G150" s="14"/>
      <c r="H150" s="15"/>
      <c r="I150" s="15"/>
    </row>
    <row r="151" spans="1:9" ht="15.75" customHeight="1" x14ac:dyDescent="0.2">
      <c r="A151" s="13"/>
      <c r="B151" s="14"/>
      <c r="C151" s="13"/>
      <c r="D151" s="13"/>
      <c r="E151" s="14"/>
      <c r="F151" s="13"/>
      <c r="G151" s="14"/>
      <c r="H151" s="15"/>
      <c r="I151" s="15"/>
    </row>
    <row r="152" spans="1:9" ht="15.75" customHeight="1" x14ac:dyDescent="0.2">
      <c r="A152" s="13"/>
      <c r="B152" s="14"/>
      <c r="C152" s="13"/>
      <c r="D152" s="13"/>
      <c r="E152" s="14"/>
      <c r="F152" s="13"/>
      <c r="G152" s="14"/>
      <c r="H152" s="15"/>
      <c r="I152" s="15"/>
    </row>
    <row r="153" spans="1:9" ht="15.75" customHeight="1" x14ac:dyDescent="0.2">
      <c r="A153" s="13"/>
      <c r="B153" s="14"/>
      <c r="C153" s="13"/>
      <c r="D153" s="13"/>
      <c r="E153" s="14"/>
      <c r="F153" s="13"/>
      <c r="G153" s="14"/>
      <c r="H153" s="15"/>
      <c r="I153" s="15"/>
    </row>
    <row r="154" spans="1:9" ht="15.75" customHeight="1" x14ac:dyDescent="0.2">
      <c r="A154" s="13"/>
      <c r="B154" s="14"/>
      <c r="C154" s="13"/>
      <c r="D154" s="13"/>
      <c r="E154" s="14"/>
      <c r="F154" s="13"/>
      <c r="G154" s="14"/>
      <c r="H154" s="15"/>
      <c r="I154" s="15"/>
    </row>
    <row r="155" spans="1:9" ht="15.75" customHeight="1" x14ac:dyDescent="0.2">
      <c r="A155" s="13"/>
      <c r="B155" s="14"/>
      <c r="C155" s="13"/>
      <c r="D155" s="13"/>
      <c r="E155" s="14"/>
      <c r="F155" s="13"/>
      <c r="G155" s="14"/>
      <c r="H155" s="15"/>
      <c r="I155" s="15"/>
    </row>
    <row r="156" spans="1:9" ht="15.75" customHeight="1" x14ac:dyDescent="0.2">
      <c r="A156" s="13"/>
      <c r="B156" s="14"/>
      <c r="C156" s="13"/>
      <c r="D156" s="13"/>
      <c r="E156" s="14"/>
      <c r="F156" s="13"/>
      <c r="G156" s="14"/>
      <c r="H156" s="15"/>
      <c r="I156" s="15"/>
    </row>
    <row r="157" spans="1:9" ht="15.75" customHeight="1" x14ac:dyDescent="0.2">
      <c r="A157" s="13"/>
      <c r="B157" s="14"/>
      <c r="C157" s="13"/>
      <c r="D157" s="13"/>
      <c r="E157" s="14"/>
      <c r="F157" s="13"/>
      <c r="G157" s="14"/>
      <c r="H157" s="15"/>
      <c r="I157" s="15"/>
    </row>
    <row r="158" spans="1:9" ht="15.75" customHeight="1" x14ac:dyDescent="0.2">
      <c r="A158" s="13"/>
      <c r="B158" s="14"/>
      <c r="C158" s="13"/>
      <c r="D158" s="13"/>
      <c r="E158" s="14"/>
      <c r="F158" s="13"/>
      <c r="G158" s="14"/>
      <c r="H158" s="15"/>
      <c r="I158" s="15"/>
    </row>
    <row r="159" spans="1:9" ht="15.75" customHeight="1" x14ac:dyDescent="0.2">
      <c r="A159" s="13"/>
      <c r="B159" s="14"/>
      <c r="C159" s="13"/>
      <c r="D159" s="13"/>
      <c r="E159" s="14"/>
      <c r="F159" s="13"/>
      <c r="G159" s="14"/>
      <c r="H159" s="15"/>
      <c r="I159" s="15"/>
    </row>
    <row r="160" spans="1:9" ht="15.75" customHeight="1" x14ac:dyDescent="0.2">
      <c r="A160" s="13"/>
      <c r="B160" s="14"/>
      <c r="C160" s="13"/>
      <c r="D160" s="13"/>
      <c r="E160" s="14"/>
      <c r="F160" s="13"/>
      <c r="G160" s="14"/>
      <c r="H160" s="15"/>
      <c r="I160" s="15"/>
    </row>
    <row r="161" spans="1:9" ht="15.75" customHeight="1" x14ac:dyDescent="0.2">
      <c r="A161" s="13"/>
      <c r="B161" s="14"/>
      <c r="C161" s="13"/>
      <c r="D161" s="13"/>
      <c r="E161" s="14"/>
      <c r="F161" s="13"/>
      <c r="G161" s="14"/>
      <c r="H161" s="15"/>
      <c r="I161" s="15"/>
    </row>
    <row r="162" spans="1:9" ht="15.75" customHeight="1" x14ac:dyDescent="0.2">
      <c r="A162" s="13"/>
      <c r="B162" s="14"/>
      <c r="C162" s="13"/>
      <c r="D162" s="13"/>
      <c r="E162" s="14"/>
      <c r="F162" s="13"/>
      <c r="G162" s="14"/>
      <c r="H162" s="15"/>
      <c r="I162" s="15"/>
    </row>
    <row r="163" spans="1:9" ht="15.75" customHeight="1" x14ac:dyDescent="0.2">
      <c r="A163" s="13"/>
      <c r="B163" s="14"/>
      <c r="C163" s="13"/>
      <c r="D163" s="13"/>
      <c r="E163" s="14"/>
      <c r="F163" s="13"/>
      <c r="G163" s="14"/>
      <c r="H163" s="15"/>
      <c r="I163" s="15"/>
    </row>
    <row r="164" spans="1:9" ht="15.75" customHeight="1" x14ac:dyDescent="0.2">
      <c r="A164" s="13"/>
      <c r="B164" s="14"/>
      <c r="C164" s="13"/>
      <c r="D164" s="13"/>
      <c r="E164" s="14"/>
      <c r="F164" s="13"/>
      <c r="G164" s="14"/>
      <c r="H164" s="15"/>
      <c r="I164" s="15"/>
    </row>
    <row r="165" spans="1:9" ht="15.75" customHeight="1" x14ac:dyDescent="0.2">
      <c r="A165" s="13"/>
      <c r="B165" s="14"/>
      <c r="C165" s="13"/>
      <c r="D165" s="13"/>
      <c r="E165" s="14"/>
      <c r="F165" s="13"/>
      <c r="G165" s="14"/>
      <c r="H165" s="15"/>
      <c r="I165" s="15"/>
    </row>
    <row r="166" spans="1:9" ht="15.75" customHeight="1" x14ac:dyDescent="0.2">
      <c r="A166" s="13"/>
      <c r="B166" s="14"/>
      <c r="C166" s="13"/>
      <c r="D166" s="13"/>
      <c r="E166" s="14"/>
      <c r="F166" s="13"/>
      <c r="G166" s="14"/>
      <c r="H166" s="15"/>
      <c r="I166" s="15"/>
    </row>
    <row r="167" spans="1:9" ht="15.75" customHeight="1" x14ac:dyDescent="0.2">
      <c r="A167" s="13"/>
      <c r="B167" s="14"/>
      <c r="C167" s="13"/>
      <c r="D167" s="13"/>
      <c r="E167" s="14"/>
      <c r="F167" s="13"/>
      <c r="G167" s="14"/>
      <c r="H167" s="15"/>
      <c r="I167" s="15"/>
    </row>
    <row r="168" spans="1:9" ht="15.75" customHeight="1" x14ac:dyDescent="0.2">
      <c r="A168" s="13"/>
      <c r="B168" s="14"/>
      <c r="C168" s="13"/>
      <c r="D168" s="13"/>
      <c r="E168" s="14"/>
      <c r="F168" s="13"/>
      <c r="G168" s="14"/>
      <c r="H168" s="15"/>
      <c r="I168" s="15"/>
    </row>
    <row r="169" spans="1:9" ht="15.75" customHeight="1" x14ac:dyDescent="0.2">
      <c r="A169" s="13"/>
      <c r="B169" s="14"/>
      <c r="C169" s="13"/>
      <c r="D169" s="13"/>
      <c r="E169" s="14"/>
      <c r="F169" s="13"/>
      <c r="G169" s="14"/>
      <c r="H169" s="15"/>
      <c r="I169" s="15"/>
    </row>
    <row r="170" spans="1:9" ht="15.75" customHeight="1" x14ac:dyDescent="0.2">
      <c r="A170" s="13"/>
      <c r="B170" s="14"/>
      <c r="C170" s="13"/>
      <c r="D170" s="13"/>
      <c r="E170" s="14"/>
      <c r="F170" s="13"/>
      <c r="G170" s="14"/>
      <c r="H170" s="15"/>
      <c r="I170" s="15"/>
    </row>
    <row r="171" spans="1:9" ht="15.75" customHeight="1" x14ac:dyDescent="0.2">
      <c r="A171" s="13"/>
      <c r="B171" s="14"/>
      <c r="C171" s="13"/>
      <c r="D171" s="13"/>
      <c r="E171" s="14"/>
      <c r="F171" s="13"/>
      <c r="G171" s="14"/>
      <c r="H171" s="15"/>
      <c r="I171" s="15"/>
    </row>
    <row r="172" spans="1:9" ht="15.75" customHeight="1" x14ac:dyDescent="0.2">
      <c r="A172" s="13"/>
      <c r="B172" s="14"/>
      <c r="C172" s="13"/>
      <c r="D172" s="13"/>
      <c r="E172" s="14"/>
      <c r="F172" s="13"/>
      <c r="G172" s="14"/>
      <c r="H172" s="15"/>
      <c r="I172" s="15"/>
    </row>
    <row r="173" spans="1:9" ht="15.75" customHeight="1" x14ac:dyDescent="0.2">
      <c r="A173" s="13"/>
      <c r="B173" s="14"/>
      <c r="C173" s="13"/>
      <c r="D173" s="13"/>
      <c r="E173" s="14"/>
      <c r="F173" s="13"/>
      <c r="G173" s="14"/>
      <c r="H173" s="15"/>
      <c r="I173" s="15"/>
    </row>
    <row r="174" spans="1:9" ht="15.75" customHeight="1" x14ac:dyDescent="0.2">
      <c r="A174" s="13"/>
      <c r="B174" s="14"/>
      <c r="C174" s="13"/>
      <c r="D174" s="13"/>
      <c r="E174" s="14"/>
      <c r="F174" s="13"/>
      <c r="G174" s="14"/>
      <c r="H174" s="15"/>
      <c r="I174" s="15"/>
    </row>
    <row r="175" spans="1:9" ht="15.75" customHeight="1" x14ac:dyDescent="0.2">
      <c r="A175" s="13"/>
      <c r="B175" s="14"/>
      <c r="C175" s="13"/>
      <c r="D175" s="13"/>
      <c r="E175" s="14"/>
      <c r="F175" s="13"/>
      <c r="G175" s="14"/>
      <c r="H175" s="15"/>
      <c r="I175" s="15"/>
    </row>
    <row r="176" spans="1:9" ht="15.75" customHeight="1" x14ac:dyDescent="0.2">
      <c r="A176" s="13"/>
      <c r="B176" s="14"/>
      <c r="C176" s="13"/>
      <c r="D176" s="13"/>
      <c r="E176" s="14"/>
      <c r="F176" s="13"/>
      <c r="G176" s="14"/>
      <c r="H176" s="15"/>
      <c r="I176" s="15"/>
    </row>
    <row r="177" spans="1:9" ht="15.75" customHeight="1" x14ac:dyDescent="0.2">
      <c r="A177" s="13"/>
      <c r="B177" s="14"/>
      <c r="C177" s="13"/>
      <c r="D177" s="13"/>
      <c r="E177" s="14"/>
      <c r="F177" s="13"/>
      <c r="G177" s="14"/>
      <c r="H177" s="15"/>
      <c r="I177" s="15"/>
    </row>
    <row r="178" spans="1:9" ht="15.75" customHeight="1" x14ac:dyDescent="0.2">
      <c r="A178" s="13"/>
      <c r="B178" s="14"/>
      <c r="C178" s="13"/>
      <c r="D178" s="13"/>
      <c r="E178" s="14"/>
      <c r="F178" s="13"/>
      <c r="G178" s="14"/>
      <c r="H178" s="15"/>
      <c r="I178" s="15"/>
    </row>
    <row r="179" spans="1:9" ht="15.75" customHeight="1" x14ac:dyDescent="0.2">
      <c r="A179" s="13"/>
      <c r="B179" s="14"/>
      <c r="C179" s="13"/>
      <c r="D179" s="13"/>
      <c r="E179" s="14"/>
      <c r="F179" s="13"/>
      <c r="G179" s="14"/>
      <c r="H179" s="15"/>
      <c r="I179" s="15"/>
    </row>
    <row r="180" spans="1:9" ht="15.75" customHeight="1" x14ac:dyDescent="0.2">
      <c r="A180" s="13"/>
      <c r="B180" s="14"/>
      <c r="C180" s="13"/>
      <c r="D180" s="13"/>
      <c r="E180" s="14"/>
      <c r="F180" s="13"/>
      <c r="G180" s="14"/>
      <c r="H180" s="15"/>
      <c r="I180" s="15"/>
    </row>
    <row r="181" spans="1:9" ht="15.75" customHeight="1" x14ac:dyDescent="0.2">
      <c r="A181" s="13"/>
      <c r="B181" s="14"/>
      <c r="C181" s="13"/>
      <c r="D181" s="13"/>
      <c r="E181" s="14"/>
      <c r="F181" s="13"/>
      <c r="G181" s="14"/>
      <c r="H181" s="15"/>
      <c r="I181" s="15"/>
    </row>
    <row r="182" spans="1:9" ht="15.75" customHeight="1" x14ac:dyDescent="0.2">
      <c r="A182" s="13"/>
      <c r="B182" s="14"/>
      <c r="C182" s="13"/>
      <c r="D182" s="13"/>
      <c r="E182" s="14"/>
      <c r="F182" s="13"/>
      <c r="G182" s="14"/>
      <c r="H182" s="15"/>
      <c r="I182" s="15"/>
    </row>
    <row r="183" spans="1:9" ht="15.75" customHeight="1" x14ac:dyDescent="0.2">
      <c r="A183" s="13"/>
      <c r="B183" s="14"/>
      <c r="C183" s="13"/>
      <c r="D183" s="13"/>
      <c r="E183" s="14"/>
      <c r="F183" s="13"/>
      <c r="G183" s="14"/>
      <c r="H183" s="15"/>
      <c r="I183" s="15"/>
    </row>
    <row r="184" spans="1:9" ht="15.75" customHeight="1" x14ac:dyDescent="0.2">
      <c r="A184" s="13"/>
      <c r="B184" s="14"/>
      <c r="C184" s="13"/>
      <c r="D184" s="13"/>
      <c r="E184" s="14"/>
      <c r="F184" s="13"/>
      <c r="G184" s="14"/>
      <c r="H184" s="15"/>
      <c r="I184" s="15"/>
    </row>
    <row r="185" spans="1:9" ht="15.75" customHeight="1" x14ac:dyDescent="0.2">
      <c r="A185" s="13"/>
      <c r="B185" s="14"/>
      <c r="C185" s="13"/>
      <c r="D185" s="13"/>
      <c r="E185" s="14"/>
      <c r="F185" s="13"/>
      <c r="G185" s="14"/>
      <c r="H185" s="15"/>
      <c r="I185" s="15"/>
    </row>
    <row r="186" spans="1:9" ht="15.75" customHeight="1" x14ac:dyDescent="0.2">
      <c r="A186" s="13"/>
      <c r="B186" s="14"/>
      <c r="C186" s="13"/>
      <c r="D186" s="13"/>
      <c r="E186" s="14"/>
      <c r="F186" s="13"/>
      <c r="G186" s="14"/>
      <c r="H186" s="15"/>
      <c r="I186" s="15"/>
    </row>
    <row r="187" spans="1:9" ht="15.75" customHeight="1" x14ac:dyDescent="0.2">
      <c r="A187" s="13"/>
      <c r="B187" s="14"/>
      <c r="C187" s="13"/>
      <c r="D187" s="13"/>
      <c r="E187" s="14"/>
      <c r="F187" s="13"/>
      <c r="G187" s="14"/>
      <c r="H187" s="15"/>
      <c r="I187" s="15"/>
    </row>
    <row r="188" spans="1:9" ht="15.75" customHeight="1" x14ac:dyDescent="0.2">
      <c r="A188" s="13"/>
      <c r="B188" s="14"/>
      <c r="C188" s="13"/>
      <c r="D188" s="13"/>
      <c r="E188" s="14"/>
      <c r="F188" s="13"/>
      <c r="G188" s="14"/>
      <c r="H188" s="15"/>
      <c r="I188" s="15"/>
    </row>
    <row r="189" spans="1:9" ht="15.75" customHeight="1" x14ac:dyDescent="0.2">
      <c r="A189" s="13"/>
      <c r="B189" s="14"/>
      <c r="C189" s="13"/>
      <c r="D189" s="13"/>
      <c r="E189" s="14"/>
      <c r="F189" s="13"/>
      <c r="G189" s="14"/>
      <c r="H189" s="15"/>
      <c r="I189" s="15"/>
    </row>
    <row r="190" spans="1:9" ht="15.75" customHeight="1" x14ac:dyDescent="0.2">
      <c r="A190" s="13"/>
      <c r="B190" s="14"/>
      <c r="C190" s="13"/>
      <c r="D190" s="13"/>
      <c r="E190" s="14"/>
      <c r="F190" s="13"/>
      <c r="G190" s="14"/>
      <c r="H190" s="15"/>
      <c r="I190" s="15"/>
    </row>
    <row r="191" spans="1:9" ht="15.75" customHeight="1" x14ac:dyDescent="0.2">
      <c r="A191" s="13"/>
      <c r="B191" s="14"/>
      <c r="C191" s="13"/>
      <c r="D191" s="13"/>
      <c r="E191" s="14"/>
      <c r="F191" s="13"/>
      <c r="G191" s="14"/>
      <c r="H191" s="15"/>
      <c r="I191" s="15"/>
    </row>
    <row r="192" spans="1:9" ht="15.75" customHeight="1" x14ac:dyDescent="0.2">
      <c r="A192" s="13"/>
      <c r="B192" s="14"/>
      <c r="C192" s="13"/>
      <c r="D192" s="13"/>
      <c r="E192" s="14"/>
      <c r="F192" s="13"/>
      <c r="G192" s="14"/>
      <c r="H192" s="15"/>
      <c r="I192" s="15"/>
    </row>
    <row r="193" spans="1:9" ht="15.75" customHeight="1" x14ac:dyDescent="0.2">
      <c r="A193" s="13"/>
      <c r="B193" s="14"/>
      <c r="C193" s="13"/>
      <c r="D193" s="13"/>
      <c r="E193" s="14"/>
      <c r="F193" s="13"/>
      <c r="G193" s="14"/>
      <c r="H193" s="15"/>
      <c r="I193" s="15"/>
    </row>
    <row r="194" spans="1:9" ht="15.75" customHeight="1" x14ac:dyDescent="0.2">
      <c r="A194" s="13"/>
      <c r="B194" s="14"/>
      <c r="C194" s="13"/>
      <c r="D194" s="13"/>
      <c r="E194" s="14"/>
      <c r="F194" s="13"/>
      <c r="G194" s="14"/>
      <c r="H194" s="15"/>
      <c r="I194" s="15"/>
    </row>
    <row r="195" spans="1:9" ht="15.75" customHeight="1" x14ac:dyDescent="0.2">
      <c r="A195" s="13"/>
      <c r="B195" s="14"/>
      <c r="C195" s="13"/>
      <c r="D195" s="13"/>
      <c r="E195" s="14"/>
      <c r="F195" s="13"/>
      <c r="G195" s="14"/>
      <c r="H195" s="15"/>
      <c r="I195" s="15"/>
    </row>
    <row r="196" spans="1:9" ht="15.75" customHeight="1" x14ac:dyDescent="0.2">
      <c r="A196" s="13"/>
      <c r="B196" s="14"/>
      <c r="C196" s="13"/>
      <c r="D196" s="13"/>
      <c r="E196" s="14"/>
      <c r="F196" s="13"/>
      <c r="G196" s="14"/>
      <c r="H196" s="15"/>
      <c r="I196" s="15"/>
    </row>
    <row r="197" spans="1:9" ht="15.75" customHeight="1" x14ac:dyDescent="0.2">
      <c r="A197" s="13"/>
      <c r="B197" s="14"/>
      <c r="C197" s="13"/>
      <c r="D197" s="13"/>
      <c r="E197" s="14"/>
      <c r="F197" s="13"/>
      <c r="G197" s="14"/>
      <c r="H197" s="15"/>
      <c r="I197" s="15"/>
    </row>
    <row r="198" spans="1:9" ht="15.75" customHeight="1" x14ac:dyDescent="0.2">
      <c r="A198" s="13"/>
      <c r="B198" s="14"/>
      <c r="C198" s="13"/>
      <c r="D198" s="13"/>
      <c r="E198" s="14"/>
      <c r="F198" s="13"/>
      <c r="G198" s="14"/>
      <c r="H198" s="15"/>
      <c r="I198" s="15"/>
    </row>
    <row r="199" spans="1:9" ht="15.75" customHeight="1" x14ac:dyDescent="0.2">
      <c r="A199" s="13"/>
      <c r="B199" s="14"/>
      <c r="C199" s="13"/>
      <c r="D199" s="13"/>
      <c r="E199" s="14"/>
      <c r="F199" s="13"/>
      <c r="G199" s="14"/>
      <c r="H199" s="15"/>
      <c r="I199" s="15"/>
    </row>
    <row r="200" spans="1:9" ht="15.75" customHeight="1" x14ac:dyDescent="0.2">
      <c r="A200" s="13"/>
      <c r="B200" s="14"/>
      <c r="C200" s="13"/>
      <c r="D200" s="13"/>
      <c r="E200" s="14"/>
      <c r="F200" s="13"/>
      <c r="G200" s="14"/>
      <c r="H200" s="15"/>
      <c r="I200" s="15"/>
    </row>
    <row r="201" spans="1:9" ht="15.75" customHeight="1" x14ac:dyDescent="0.2">
      <c r="A201" s="13"/>
      <c r="B201" s="14"/>
      <c r="C201" s="13"/>
      <c r="D201" s="13"/>
      <c r="E201" s="14"/>
      <c r="F201" s="13"/>
      <c r="G201" s="14"/>
      <c r="H201" s="15"/>
      <c r="I201" s="15"/>
    </row>
    <row r="202" spans="1:9" ht="15.75" customHeight="1" x14ac:dyDescent="0.2">
      <c r="A202" s="13"/>
      <c r="B202" s="14"/>
      <c r="C202" s="13"/>
      <c r="D202" s="13"/>
      <c r="E202" s="14"/>
      <c r="F202" s="13"/>
      <c r="G202" s="14"/>
      <c r="H202" s="15"/>
      <c r="I202" s="15"/>
    </row>
    <row r="203" spans="1:9" ht="15.75" customHeight="1" x14ac:dyDescent="0.2">
      <c r="A203" s="13"/>
      <c r="B203" s="14"/>
      <c r="C203" s="13"/>
      <c r="D203" s="13"/>
      <c r="E203" s="14"/>
      <c r="F203" s="13"/>
      <c r="G203" s="14"/>
      <c r="H203" s="15"/>
      <c r="I203" s="15"/>
    </row>
    <row r="204" spans="1:9" ht="15.75" customHeight="1" x14ac:dyDescent="0.2">
      <c r="A204" s="13"/>
      <c r="B204" s="14"/>
      <c r="C204" s="13"/>
      <c r="D204" s="13"/>
      <c r="E204" s="14"/>
      <c r="F204" s="13"/>
      <c r="G204" s="14"/>
      <c r="H204" s="15"/>
      <c r="I204" s="15"/>
    </row>
    <row r="205" spans="1:9" ht="15.75" customHeight="1" x14ac:dyDescent="0.2">
      <c r="A205" s="13"/>
      <c r="B205" s="14"/>
      <c r="C205" s="13"/>
      <c r="D205" s="13"/>
      <c r="E205" s="14"/>
      <c r="F205" s="13"/>
      <c r="G205" s="14"/>
      <c r="H205" s="15"/>
      <c r="I205" s="15"/>
    </row>
    <row r="206" spans="1:9" ht="15.75" customHeight="1" x14ac:dyDescent="0.2">
      <c r="A206" s="13"/>
      <c r="B206" s="14"/>
      <c r="C206" s="13"/>
      <c r="D206" s="13"/>
      <c r="E206" s="14"/>
      <c r="F206" s="13"/>
      <c r="G206" s="14"/>
      <c r="H206" s="15"/>
      <c r="I206" s="15"/>
    </row>
    <row r="207" spans="1:9" ht="15.75" customHeight="1" x14ac:dyDescent="0.2">
      <c r="A207" s="13"/>
      <c r="B207" s="14"/>
      <c r="C207" s="13"/>
      <c r="D207" s="13"/>
      <c r="E207" s="14"/>
      <c r="F207" s="13"/>
      <c r="G207" s="14"/>
      <c r="H207" s="15"/>
      <c r="I207" s="15"/>
    </row>
    <row r="208" spans="1:9" ht="15.75" customHeight="1" x14ac:dyDescent="0.2">
      <c r="A208" s="13"/>
      <c r="B208" s="14"/>
      <c r="C208" s="13"/>
      <c r="D208" s="13"/>
      <c r="E208" s="14"/>
      <c r="F208" s="13"/>
      <c r="G208" s="14"/>
      <c r="H208" s="15"/>
      <c r="I208" s="15"/>
    </row>
    <row r="209" spans="1:9" ht="15.75" customHeight="1" x14ac:dyDescent="0.2">
      <c r="A209" s="13"/>
      <c r="B209" s="14"/>
      <c r="C209" s="13"/>
      <c r="D209" s="13"/>
      <c r="E209" s="14"/>
      <c r="F209" s="13"/>
      <c r="G209" s="14"/>
      <c r="H209" s="15"/>
      <c r="I209" s="15"/>
    </row>
    <row r="210" spans="1:9" ht="15.75" customHeight="1" x14ac:dyDescent="0.2">
      <c r="A210" s="13"/>
      <c r="B210" s="14"/>
      <c r="C210" s="13"/>
      <c r="D210" s="13"/>
      <c r="E210" s="14"/>
      <c r="F210" s="13"/>
      <c r="G210" s="14"/>
      <c r="H210" s="15"/>
      <c r="I210" s="15"/>
    </row>
    <row r="211" spans="1:9" ht="15.75" customHeight="1" x14ac:dyDescent="0.2">
      <c r="A211" s="13"/>
      <c r="B211" s="14"/>
      <c r="C211" s="13"/>
      <c r="D211" s="13"/>
      <c r="E211" s="14"/>
      <c r="F211" s="13"/>
      <c r="G211" s="14"/>
      <c r="H211" s="15"/>
      <c r="I211" s="15"/>
    </row>
    <row r="212" spans="1:9" ht="15.75" customHeight="1" x14ac:dyDescent="0.2">
      <c r="A212" s="13"/>
      <c r="B212" s="14"/>
      <c r="C212" s="13"/>
      <c r="D212" s="13"/>
      <c r="E212" s="14"/>
      <c r="F212" s="13"/>
      <c r="G212" s="14"/>
      <c r="H212" s="15"/>
      <c r="I212" s="15"/>
    </row>
    <row r="213" spans="1:9" ht="15.75" customHeight="1" x14ac:dyDescent="0.2">
      <c r="A213" s="13"/>
      <c r="B213" s="14"/>
      <c r="C213" s="13"/>
      <c r="D213" s="13"/>
      <c r="E213" s="14"/>
      <c r="F213" s="13"/>
      <c r="G213" s="14"/>
      <c r="H213" s="15"/>
      <c r="I213" s="15"/>
    </row>
    <row r="214" spans="1:9" ht="15.75" customHeight="1" x14ac:dyDescent="0.2">
      <c r="A214" s="13"/>
      <c r="B214" s="14"/>
      <c r="C214" s="13"/>
      <c r="D214" s="13"/>
      <c r="E214" s="14"/>
      <c r="F214" s="13"/>
      <c r="G214" s="14"/>
      <c r="H214" s="15"/>
      <c r="I214" s="15"/>
    </row>
    <row r="215" spans="1:9" ht="15.75" customHeight="1" x14ac:dyDescent="0.2">
      <c r="A215" s="13"/>
      <c r="B215" s="14"/>
      <c r="C215" s="13"/>
      <c r="D215" s="13"/>
      <c r="E215" s="14"/>
      <c r="F215" s="13"/>
      <c r="G215" s="14"/>
      <c r="H215" s="15"/>
      <c r="I215" s="15"/>
    </row>
    <row r="216" spans="1:9" ht="15.75" customHeight="1" x14ac:dyDescent="0.2">
      <c r="A216" s="13"/>
      <c r="B216" s="14"/>
      <c r="C216" s="13"/>
      <c r="D216" s="13"/>
      <c r="E216" s="14"/>
      <c r="F216" s="13"/>
      <c r="G216" s="14"/>
      <c r="H216" s="15"/>
      <c r="I216" s="15"/>
    </row>
    <row r="217" spans="1:9" ht="15.75" customHeight="1" x14ac:dyDescent="0.2">
      <c r="A217" s="13"/>
      <c r="B217" s="14"/>
      <c r="C217" s="13"/>
      <c r="D217" s="13"/>
      <c r="E217" s="14"/>
      <c r="F217" s="13"/>
      <c r="G217" s="14"/>
      <c r="H217" s="15"/>
      <c r="I217" s="15"/>
    </row>
    <row r="218" spans="1:9" ht="15.75" customHeight="1" x14ac:dyDescent="0.2">
      <c r="A218" s="13"/>
      <c r="B218" s="14"/>
      <c r="C218" s="13"/>
      <c r="D218" s="13"/>
      <c r="E218" s="14"/>
      <c r="F218" s="13"/>
      <c r="G218" s="14"/>
      <c r="H218" s="15"/>
      <c r="I218" s="15"/>
    </row>
    <row r="219" spans="1:9" ht="15.75" customHeight="1" x14ac:dyDescent="0.2">
      <c r="A219" s="13"/>
      <c r="B219" s="14"/>
      <c r="C219" s="13"/>
      <c r="D219" s="13"/>
      <c r="E219" s="14"/>
      <c r="F219" s="13"/>
      <c r="G219" s="14"/>
      <c r="H219" s="15"/>
      <c r="I219" s="15"/>
    </row>
    <row r="220" spans="1:9" ht="15.75" customHeight="1" x14ac:dyDescent="0.2">
      <c r="A220" s="13"/>
      <c r="B220" s="14"/>
      <c r="C220" s="13"/>
      <c r="D220" s="13"/>
      <c r="E220" s="14"/>
      <c r="F220" s="13"/>
      <c r="G220" s="14"/>
      <c r="H220" s="15"/>
      <c r="I220" s="15"/>
    </row>
    <row r="221" spans="1:9" ht="15.75" customHeight="1" x14ac:dyDescent="0.2">
      <c r="A221" s="13"/>
      <c r="B221" s="14"/>
      <c r="C221" s="13"/>
      <c r="D221" s="13"/>
      <c r="E221" s="14"/>
      <c r="F221" s="13"/>
      <c r="G221" s="14"/>
      <c r="H221" s="15"/>
      <c r="I221" s="15"/>
    </row>
    <row r="222" spans="1:9" ht="15.75" customHeight="1" x14ac:dyDescent="0.2">
      <c r="A222" s="13"/>
      <c r="B222" s="14"/>
      <c r="C222" s="13"/>
      <c r="D222" s="13"/>
      <c r="E222" s="14"/>
      <c r="F222" s="13"/>
      <c r="G222" s="14"/>
      <c r="H222" s="15"/>
      <c r="I222" s="15"/>
    </row>
    <row r="223" spans="1:9" ht="15.75" customHeight="1" x14ac:dyDescent="0.2">
      <c r="A223" s="13"/>
      <c r="B223" s="14"/>
      <c r="C223" s="13"/>
      <c r="D223" s="13"/>
      <c r="E223" s="14"/>
      <c r="F223" s="13"/>
      <c r="G223" s="14"/>
      <c r="H223" s="15"/>
      <c r="I223" s="15"/>
    </row>
    <row r="224" spans="1:9" ht="15.75" customHeight="1" x14ac:dyDescent="0.2">
      <c r="A224" s="13"/>
      <c r="B224" s="14"/>
      <c r="C224" s="13"/>
      <c r="D224" s="13"/>
      <c r="E224" s="14"/>
      <c r="F224" s="13"/>
      <c r="G224" s="14"/>
      <c r="H224" s="15"/>
      <c r="I224" s="15"/>
    </row>
    <row r="225" spans="1:9" ht="15.75" customHeight="1" x14ac:dyDescent="0.2">
      <c r="A225" s="13"/>
      <c r="B225" s="14"/>
      <c r="C225" s="13"/>
      <c r="D225" s="13"/>
      <c r="E225" s="14"/>
      <c r="F225" s="13"/>
      <c r="G225" s="14"/>
      <c r="H225" s="15"/>
      <c r="I225" s="15"/>
    </row>
    <row r="226" spans="1:9" ht="15.75" customHeight="1" x14ac:dyDescent="0.2">
      <c r="A226" s="13"/>
      <c r="B226" s="14"/>
      <c r="C226" s="13"/>
      <c r="D226" s="13"/>
      <c r="E226" s="14"/>
      <c r="F226" s="13"/>
      <c r="G226" s="14"/>
      <c r="H226" s="15"/>
      <c r="I226" s="15"/>
    </row>
    <row r="227" spans="1:9" ht="15.75" customHeight="1" x14ac:dyDescent="0.2">
      <c r="A227" s="13"/>
      <c r="B227" s="14"/>
      <c r="C227" s="13"/>
      <c r="D227" s="13"/>
      <c r="E227" s="14"/>
      <c r="F227" s="13"/>
      <c r="G227" s="14"/>
      <c r="H227" s="15"/>
      <c r="I227" s="15"/>
    </row>
    <row r="228" spans="1:9" ht="15.75" customHeight="1" x14ac:dyDescent="0.2">
      <c r="A228" s="13"/>
      <c r="B228" s="14"/>
      <c r="C228" s="13"/>
      <c r="D228" s="13"/>
      <c r="E228" s="14"/>
      <c r="F228" s="13"/>
      <c r="G228" s="14"/>
      <c r="H228" s="15"/>
      <c r="I228" s="15"/>
    </row>
    <row r="229" spans="1:9" ht="15.75" customHeight="1" x14ac:dyDescent="0.2">
      <c r="A229" s="13"/>
      <c r="B229" s="14"/>
      <c r="C229" s="13"/>
      <c r="D229" s="13"/>
      <c r="E229" s="14"/>
      <c r="F229" s="13"/>
      <c r="G229" s="14"/>
      <c r="H229" s="15"/>
      <c r="I229" s="15"/>
    </row>
    <row r="230" spans="1:9" ht="15.75" customHeight="1" x14ac:dyDescent="0.2">
      <c r="A230" s="13"/>
      <c r="B230" s="14"/>
      <c r="C230" s="13"/>
      <c r="D230" s="13"/>
      <c r="E230" s="14"/>
      <c r="F230" s="13"/>
      <c r="G230" s="14"/>
      <c r="H230" s="15"/>
      <c r="I230" s="15"/>
    </row>
    <row r="231" spans="1:9" ht="15.75" customHeight="1" x14ac:dyDescent="0.2">
      <c r="A231" s="13"/>
      <c r="B231" s="14"/>
      <c r="C231" s="13"/>
      <c r="D231" s="13"/>
      <c r="E231" s="14"/>
      <c r="F231" s="13"/>
      <c r="G231" s="14"/>
      <c r="H231" s="15"/>
      <c r="I231" s="15"/>
    </row>
    <row r="232" spans="1:9" ht="15.75" customHeight="1" x14ac:dyDescent="0.2">
      <c r="A232" s="13"/>
      <c r="B232" s="14"/>
      <c r="C232" s="13"/>
      <c r="D232" s="13"/>
      <c r="E232" s="14"/>
      <c r="F232" s="13"/>
      <c r="G232" s="14"/>
      <c r="H232" s="15"/>
      <c r="I232" s="15"/>
    </row>
    <row r="233" spans="1:9" ht="15.75" customHeight="1" x14ac:dyDescent="0.2">
      <c r="A233" s="13"/>
      <c r="B233" s="14"/>
      <c r="C233" s="13"/>
      <c r="D233" s="13"/>
      <c r="E233" s="14"/>
      <c r="F233" s="13"/>
      <c r="G233" s="14"/>
      <c r="H233" s="15"/>
      <c r="I233" s="15"/>
    </row>
    <row r="234" spans="1:9" ht="15.75" customHeight="1" x14ac:dyDescent="0.2">
      <c r="A234" s="13"/>
      <c r="B234" s="14"/>
      <c r="C234" s="13"/>
      <c r="D234" s="13"/>
      <c r="E234" s="14"/>
      <c r="F234" s="13"/>
      <c r="G234" s="14"/>
      <c r="H234" s="15"/>
      <c r="I234" s="15"/>
    </row>
    <row r="235" spans="1:9" ht="15.75" customHeight="1" x14ac:dyDescent="0.2">
      <c r="A235" s="13"/>
      <c r="B235" s="14"/>
      <c r="C235" s="13"/>
      <c r="D235" s="13"/>
      <c r="E235" s="14"/>
      <c r="F235" s="13"/>
      <c r="G235" s="14"/>
      <c r="H235" s="15"/>
      <c r="I235" s="15"/>
    </row>
    <row r="236" spans="1:9" ht="15.75" customHeight="1" x14ac:dyDescent="0.2">
      <c r="A236" s="13"/>
      <c r="B236" s="14"/>
      <c r="C236" s="13"/>
      <c r="D236" s="13"/>
      <c r="E236" s="14"/>
      <c r="F236" s="13"/>
      <c r="G236" s="14"/>
      <c r="H236" s="15"/>
      <c r="I236" s="15"/>
    </row>
    <row r="237" spans="1:9" ht="15.75" customHeight="1" x14ac:dyDescent="0.2">
      <c r="A237" s="13"/>
      <c r="B237" s="14"/>
      <c r="C237" s="13"/>
      <c r="D237" s="13"/>
      <c r="E237" s="14"/>
      <c r="F237" s="13"/>
      <c r="G237" s="14"/>
      <c r="H237" s="15"/>
      <c r="I237" s="15"/>
    </row>
    <row r="238" spans="1:9" ht="15.75" customHeight="1" x14ac:dyDescent="0.2">
      <c r="A238" s="13"/>
      <c r="B238" s="14"/>
      <c r="C238" s="13"/>
      <c r="D238" s="13"/>
      <c r="E238" s="14"/>
      <c r="F238" s="13"/>
      <c r="G238" s="14"/>
      <c r="H238" s="15"/>
      <c r="I238" s="15"/>
    </row>
    <row r="239" spans="1:9" ht="15.75" customHeight="1" x14ac:dyDescent="0.2">
      <c r="A239" s="13"/>
      <c r="B239" s="14"/>
      <c r="C239" s="13"/>
      <c r="D239" s="13"/>
      <c r="E239" s="14"/>
      <c r="F239" s="13"/>
      <c r="G239" s="14"/>
      <c r="H239" s="15"/>
      <c r="I239" s="15"/>
    </row>
    <row r="240" spans="1:9" ht="15.75" customHeight="1" x14ac:dyDescent="0.2">
      <c r="A240" s="13"/>
      <c r="B240" s="14"/>
      <c r="C240" s="13"/>
      <c r="D240" s="13"/>
      <c r="E240" s="14"/>
      <c r="F240" s="13"/>
      <c r="G240" s="14"/>
      <c r="H240" s="15"/>
      <c r="I240" s="15"/>
    </row>
    <row r="241" spans="1:9" ht="15.75" customHeight="1" x14ac:dyDescent="0.2">
      <c r="A241" s="13"/>
      <c r="B241" s="14"/>
      <c r="C241" s="13"/>
      <c r="D241" s="13"/>
      <c r="E241" s="14"/>
      <c r="F241" s="13"/>
      <c r="G241" s="14"/>
      <c r="H241" s="15"/>
      <c r="I241" s="15"/>
    </row>
    <row r="242" spans="1:9" ht="15.75" customHeight="1" x14ac:dyDescent="0.2">
      <c r="A242" s="13"/>
      <c r="B242" s="14"/>
      <c r="C242" s="13"/>
      <c r="D242" s="13"/>
      <c r="E242" s="14"/>
      <c r="F242" s="13"/>
      <c r="G242" s="14"/>
      <c r="H242" s="15"/>
      <c r="I242" s="15"/>
    </row>
    <row r="243" spans="1:9" ht="15.75" customHeight="1" x14ac:dyDescent="0.2">
      <c r="A243" s="13"/>
      <c r="B243" s="14"/>
      <c r="C243" s="13"/>
      <c r="D243" s="13"/>
      <c r="E243" s="14"/>
      <c r="F243" s="13"/>
      <c r="G243" s="14"/>
      <c r="H243" s="15"/>
      <c r="I243" s="15"/>
    </row>
    <row r="244" spans="1:9" ht="15.75" customHeight="1" x14ac:dyDescent="0.2">
      <c r="A244" s="13"/>
      <c r="B244" s="14"/>
      <c r="C244" s="13"/>
      <c r="D244" s="13"/>
      <c r="E244" s="14"/>
      <c r="F244" s="13"/>
      <c r="G244" s="14"/>
      <c r="H244" s="15"/>
      <c r="I244" s="15"/>
    </row>
    <row r="245" spans="1:9" ht="15.75" customHeight="1" x14ac:dyDescent="0.2">
      <c r="A245" s="13"/>
      <c r="B245" s="14"/>
      <c r="C245" s="13"/>
      <c r="D245" s="13"/>
      <c r="E245" s="14"/>
      <c r="F245" s="13"/>
      <c r="G245" s="14"/>
      <c r="H245" s="15"/>
      <c r="I245" s="15"/>
    </row>
    <row r="246" spans="1:9" ht="15.75" customHeight="1" x14ac:dyDescent="0.2">
      <c r="A246" s="13"/>
      <c r="B246" s="14"/>
      <c r="C246" s="13"/>
      <c r="D246" s="13"/>
      <c r="E246" s="14"/>
      <c r="F246" s="13"/>
      <c r="G246" s="14"/>
      <c r="H246" s="15"/>
      <c r="I246" s="15"/>
    </row>
    <row r="247" spans="1:9" ht="15.75" customHeight="1" x14ac:dyDescent="0.2">
      <c r="A247" s="13"/>
      <c r="B247" s="14"/>
      <c r="C247" s="13"/>
      <c r="D247" s="13"/>
      <c r="E247" s="14"/>
      <c r="F247" s="13"/>
      <c r="G247" s="14"/>
      <c r="H247" s="15"/>
      <c r="I247" s="15"/>
    </row>
    <row r="248" spans="1:9" ht="15.75" customHeight="1" x14ac:dyDescent="0.2">
      <c r="A248" s="13"/>
      <c r="B248" s="14"/>
      <c r="C248" s="13"/>
      <c r="D248" s="13"/>
      <c r="E248" s="14"/>
      <c r="F248" s="13"/>
      <c r="G248" s="14"/>
      <c r="H248" s="15"/>
      <c r="I248" s="15"/>
    </row>
    <row r="249" spans="1:9" ht="15.75" customHeight="1" x14ac:dyDescent="0.2">
      <c r="A249" s="13"/>
      <c r="B249" s="14"/>
      <c r="C249" s="13"/>
      <c r="D249" s="13"/>
      <c r="E249" s="14"/>
      <c r="F249" s="13"/>
      <c r="G249" s="14"/>
      <c r="H249" s="15"/>
      <c r="I249" s="15"/>
    </row>
    <row r="250" spans="1:9" ht="15.75" customHeight="1" x14ac:dyDescent="0.2">
      <c r="A250" s="13"/>
      <c r="B250" s="14"/>
      <c r="C250" s="13"/>
      <c r="D250" s="13"/>
      <c r="E250" s="14"/>
      <c r="F250" s="13"/>
      <c r="G250" s="14"/>
      <c r="H250" s="15"/>
      <c r="I250" s="15"/>
    </row>
    <row r="251" spans="1:9" ht="15.75" customHeight="1" x14ac:dyDescent="0.2">
      <c r="A251" s="13"/>
      <c r="B251" s="14"/>
      <c r="C251" s="13"/>
      <c r="D251" s="13"/>
      <c r="E251" s="14"/>
      <c r="F251" s="13"/>
      <c r="G251" s="14"/>
      <c r="H251" s="15"/>
      <c r="I251" s="15"/>
    </row>
    <row r="252" spans="1:9" ht="15.75" customHeight="1" x14ac:dyDescent="0.2">
      <c r="A252" s="13"/>
      <c r="B252" s="14"/>
      <c r="C252" s="13"/>
      <c r="D252" s="13"/>
      <c r="E252" s="14"/>
      <c r="F252" s="13"/>
      <c r="G252" s="14"/>
      <c r="H252" s="15"/>
      <c r="I252" s="15"/>
    </row>
    <row r="253" spans="1:9" ht="15.75" customHeight="1" x14ac:dyDescent="0.2">
      <c r="A253" s="13"/>
      <c r="B253" s="14"/>
      <c r="C253" s="13"/>
      <c r="D253" s="13"/>
      <c r="E253" s="14"/>
      <c r="F253" s="13"/>
      <c r="G253" s="14"/>
      <c r="H253" s="15"/>
      <c r="I253" s="15"/>
    </row>
    <row r="254" spans="1:9" ht="15.75" customHeight="1" x14ac:dyDescent="0.2">
      <c r="A254" s="13"/>
      <c r="B254" s="14"/>
      <c r="C254" s="13"/>
      <c r="D254" s="13"/>
      <c r="E254" s="14"/>
      <c r="F254" s="13"/>
      <c r="G254" s="14"/>
      <c r="H254" s="15"/>
      <c r="I254" s="15"/>
    </row>
    <row r="255" spans="1:9" ht="15.75" customHeight="1" x14ac:dyDescent="0.2">
      <c r="A255" s="13"/>
      <c r="B255" s="14"/>
      <c r="C255" s="13"/>
      <c r="D255" s="13"/>
      <c r="E255" s="14"/>
      <c r="F255" s="13"/>
      <c r="G255" s="14"/>
      <c r="H255" s="15"/>
      <c r="I255" s="15"/>
    </row>
    <row r="256" spans="1:9" ht="15.75" customHeight="1" x14ac:dyDescent="0.2">
      <c r="A256" s="13"/>
      <c r="B256" s="14"/>
      <c r="C256" s="13"/>
      <c r="D256" s="13"/>
      <c r="E256" s="14"/>
      <c r="F256" s="13"/>
      <c r="G256" s="14"/>
      <c r="H256" s="15"/>
      <c r="I256" s="15"/>
    </row>
    <row r="257" spans="1:9" ht="15.75" customHeight="1" x14ac:dyDescent="0.2">
      <c r="A257" s="13"/>
      <c r="B257" s="14"/>
      <c r="C257" s="13"/>
      <c r="D257" s="13"/>
      <c r="E257" s="14"/>
      <c r="F257" s="13"/>
      <c r="G257" s="14"/>
      <c r="H257" s="15"/>
      <c r="I257" s="15"/>
    </row>
    <row r="258" spans="1:9" ht="15.75" customHeight="1" x14ac:dyDescent="0.2">
      <c r="A258" s="13"/>
      <c r="B258" s="14"/>
      <c r="C258" s="13"/>
      <c r="D258" s="13"/>
      <c r="E258" s="14"/>
      <c r="F258" s="13"/>
      <c r="G258" s="14"/>
      <c r="H258" s="15"/>
      <c r="I258" s="15"/>
    </row>
    <row r="259" spans="1:9" ht="15.75" customHeight="1" x14ac:dyDescent="0.2">
      <c r="A259" s="13"/>
      <c r="B259" s="14"/>
      <c r="C259" s="13"/>
      <c r="D259" s="13"/>
      <c r="E259" s="14"/>
      <c r="F259" s="13"/>
      <c r="G259" s="14"/>
      <c r="H259" s="15"/>
      <c r="I259" s="15"/>
    </row>
    <row r="260" spans="1:9" ht="15.75" customHeight="1" x14ac:dyDescent="0.2">
      <c r="A260" s="13"/>
      <c r="B260" s="14"/>
      <c r="C260" s="13"/>
      <c r="D260" s="13"/>
      <c r="E260" s="14"/>
      <c r="F260" s="13"/>
      <c r="G260" s="14"/>
      <c r="H260" s="15"/>
      <c r="I260" s="15"/>
    </row>
    <row r="261" spans="1:9" ht="15.75" customHeight="1" x14ac:dyDescent="0.2">
      <c r="A261" s="13"/>
      <c r="B261" s="14"/>
      <c r="C261" s="13"/>
      <c r="D261" s="13"/>
      <c r="E261" s="14"/>
      <c r="F261" s="13"/>
      <c r="G261" s="14"/>
      <c r="H261" s="15"/>
      <c r="I261" s="15"/>
    </row>
    <row r="262" spans="1:9" ht="15.75" customHeight="1" x14ac:dyDescent="0.2">
      <c r="A262" s="13"/>
      <c r="B262" s="14"/>
      <c r="C262" s="13"/>
      <c r="D262" s="13"/>
      <c r="E262" s="14"/>
      <c r="F262" s="13"/>
      <c r="G262" s="14"/>
      <c r="H262" s="15"/>
      <c r="I262" s="15"/>
    </row>
    <row r="263" spans="1:9" ht="15.75" customHeight="1" x14ac:dyDescent="0.2">
      <c r="A263" s="13"/>
      <c r="B263" s="14"/>
      <c r="C263" s="13"/>
      <c r="D263" s="13"/>
      <c r="E263" s="14"/>
      <c r="F263" s="13"/>
      <c r="G263" s="14"/>
      <c r="H263" s="15"/>
      <c r="I263" s="15"/>
    </row>
    <row r="264" spans="1:9" ht="15.75" customHeight="1" x14ac:dyDescent="0.2">
      <c r="A264" s="13"/>
      <c r="B264" s="14"/>
      <c r="C264" s="13"/>
      <c r="D264" s="13"/>
      <c r="E264" s="14"/>
      <c r="F264" s="13"/>
      <c r="G264" s="14"/>
      <c r="H264" s="15"/>
      <c r="I264" s="15"/>
    </row>
    <row r="265" spans="1:9" ht="15.75" customHeight="1" x14ac:dyDescent="0.2">
      <c r="A265" s="13"/>
      <c r="B265" s="14"/>
      <c r="C265" s="13"/>
      <c r="D265" s="13"/>
      <c r="E265" s="14"/>
      <c r="F265" s="13"/>
      <c r="G265" s="14"/>
      <c r="H265" s="15"/>
      <c r="I265" s="15"/>
    </row>
    <row r="266" spans="1:9" ht="15.75" customHeight="1" x14ac:dyDescent="0.2">
      <c r="A266" s="13"/>
      <c r="B266" s="14"/>
      <c r="C266" s="13"/>
      <c r="D266" s="13"/>
      <c r="E266" s="14"/>
      <c r="F266" s="13"/>
      <c r="G266" s="14"/>
      <c r="H266" s="15"/>
      <c r="I266" s="15"/>
    </row>
    <row r="267" spans="1:9" ht="15.75" customHeight="1" x14ac:dyDescent="0.2">
      <c r="A267" s="13"/>
      <c r="B267" s="14"/>
      <c r="C267" s="13"/>
      <c r="D267" s="13"/>
      <c r="E267" s="14"/>
      <c r="F267" s="13"/>
      <c r="G267" s="14"/>
      <c r="H267" s="15"/>
      <c r="I267" s="15"/>
    </row>
    <row r="268" spans="1:9" ht="15.75" customHeight="1" x14ac:dyDescent="0.2">
      <c r="A268" s="13"/>
      <c r="B268" s="14"/>
      <c r="C268" s="13"/>
      <c r="D268" s="13"/>
      <c r="E268" s="14"/>
      <c r="F268" s="13"/>
      <c r="G268" s="14"/>
      <c r="H268" s="15"/>
      <c r="I268" s="15"/>
    </row>
    <row r="269" spans="1:9" ht="15.75" customHeight="1" x14ac:dyDescent="0.2">
      <c r="A269" s="13"/>
      <c r="B269" s="14"/>
      <c r="C269" s="13"/>
      <c r="D269" s="13"/>
      <c r="E269" s="14"/>
      <c r="F269" s="13"/>
      <c r="G269" s="14"/>
      <c r="H269" s="15"/>
      <c r="I269" s="15"/>
    </row>
    <row r="270" spans="1:9" ht="15.75" customHeight="1" x14ac:dyDescent="0.2">
      <c r="A270" s="13"/>
      <c r="B270" s="14"/>
      <c r="C270" s="13"/>
      <c r="D270" s="13"/>
      <c r="E270" s="14"/>
      <c r="F270" s="13"/>
      <c r="G270" s="14"/>
      <c r="H270" s="15"/>
      <c r="I270" s="15"/>
    </row>
    <row r="271" spans="1:9" ht="15.75" customHeight="1" x14ac:dyDescent="0.2">
      <c r="A271" s="13"/>
      <c r="B271" s="14"/>
      <c r="C271" s="13"/>
      <c r="D271" s="13"/>
      <c r="E271" s="14"/>
      <c r="F271" s="13"/>
      <c r="G271" s="14"/>
      <c r="H271" s="15"/>
      <c r="I271" s="15"/>
    </row>
    <row r="272" spans="1:9" ht="15.75" customHeight="1" x14ac:dyDescent="0.2">
      <c r="A272" s="13"/>
      <c r="B272" s="14"/>
      <c r="C272" s="13"/>
      <c r="D272" s="13"/>
      <c r="E272" s="14"/>
      <c r="F272" s="13"/>
      <c r="G272" s="14"/>
      <c r="H272" s="15"/>
      <c r="I272" s="15"/>
    </row>
    <row r="273" spans="1:9" ht="15.75" customHeight="1" x14ac:dyDescent="0.2">
      <c r="A273" s="13"/>
      <c r="B273" s="14"/>
      <c r="C273" s="13"/>
      <c r="D273" s="13"/>
      <c r="E273" s="14"/>
      <c r="F273" s="13"/>
      <c r="G273" s="14"/>
      <c r="H273" s="15"/>
      <c r="I273" s="15"/>
    </row>
    <row r="274" spans="1:9" ht="15.75" customHeight="1" x14ac:dyDescent="0.2">
      <c r="A274" s="13"/>
      <c r="B274" s="14"/>
      <c r="C274" s="13"/>
      <c r="D274" s="13"/>
      <c r="E274" s="14"/>
      <c r="F274" s="13"/>
      <c r="G274" s="14"/>
      <c r="H274" s="15"/>
      <c r="I274" s="15"/>
    </row>
    <row r="275" spans="1:9" ht="15.75" customHeight="1" x14ac:dyDescent="0.2">
      <c r="A275" s="13"/>
      <c r="B275" s="14"/>
      <c r="C275" s="13"/>
      <c r="D275" s="13"/>
      <c r="E275" s="14"/>
      <c r="F275" s="13"/>
      <c r="G275" s="14"/>
      <c r="H275" s="15"/>
      <c r="I275" s="15"/>
    </row>
    <row r="276" spans="1:9" ht="15.75" customHeight="1" x14ac:dyDescent="0.2">
      <c r="A276" s="13"/>
      <c r="B276" s="14"/>
      <c r="C276" s="13"/>
      <c r="D276" s="13"/>
      <c r="E276" s="14"/>
      <c r="F276" s="13"/>
      <c r="G276" s="14"/>
      <c r="H276" s="15"/>
      <c r="I276" s="15"/>
    </row>
    <row r="277" spans="1:9" ht="15.75" customHeight="1" x14ac:dyDescent="0.2">
      <c r="A277" s="13"/>
      <c r="B277" s="14"/>
      <c r="C277" s="13"/>
      <c r="D277" s="13"/>
      <c r="E277" s="14"/>
      <c r="F277" s="13"/>
      <c r="G277" s="14"/>
      <c r="H277" s="15"/>
      <c r="I277" s="15"/>
    </row>
    <row r="278" spans="1:9" ht="15.75" customHeight="1" x14ac:dyDescent="0.2">
      <c r="A278" s="13"/>
      <c r="B278" s="14"/>
      <c r="C278" s="13"/>
      <c r="D278" s="13"/>
      <c r="E278" s="14"/>
      <c r="F278" s="13"/>
      <c r="G278" s="14"/>
      <c r="H278" s="15"/>
      <c r="I278" s="15"/>
    </row>
    <row r="279" spans="1:9" ht="15.75" customHeight="1" x14ac:dyDescent="0.2">
      <c r="A279" s="13"/>
      <c r="B279" s="14"/>
      <c r="C279" s="13"/>
      <c r="D279" s="13"/>
      <c r="E279" s="14"/>
      <c r="F279" s="13"/>
      <c r="G279" s="14"/>
      <c r="H279" s="15"/>
      <c r="I279" s="15"/>
    </row>
    <row r="280" spans="1:9" ht="15.75" customHeight="1" x14ac:dyDescent="0.2">
      <c r="A280" s="13"/>
      <c r="B280" s="14"/>
      <c r="C280" s="13"/>
      <c r="D280" s="13"/>
      <c r="E280" s="14"/>
      <c r="F280" s="13"/>
      <c r="G280" s="14"/>
      <c r="H280" s="15"/>
      <c r="I280" s="15"/>
    </row>
    <row r="281" spans="1:9" ht="15.75" customHeight="1" x14ac:dyDescent="0.2">
      <c r="A281" s="13"/>
      <c r="B281" s="14"/>
      <c r="C281" s="13"/>
      <c r="D281" s="13"/>
      <c r="E281" s="14"/>
      <c r="F281" s="13"/>
      <c r="G281" s="14"/>
      <c r="H281" s="15"/>
      <c r="I281" s="15"/>
    </row>
    <row r="282" spans="1:9" ht="15.75" customHeight="1" x14ac:dyDescent="0.2">
      <c r="A282" s="13"/>
      <c r="B282" s="14"/>
      <c r="C282" s="13"/>
      <c r="D282" s="13"/>
      <c r="E282" s="14"/>
      <c r="F282" s="13"/>
      <c r="G282" s="14"/>
      <c r="H282" s="15"/>
      <c r="I282" s="15"/>
    </row>
    <row r="283" spans="1:9" ht="15.75" customHeight="1" x14ac:dyDescent="0.2">
      <c r="A283" s="13"/>
      <c r="B283" s="14"/>
      <c r="C283" s="13"/>
      <c r="D283" s="13"/>
      <c r="E283" s="14"/>
      <c r="F283" s="13"/>
      <c r="G283" s="14"/>
      <c r="H283" s="15"/>
      <c r="I283" s="15"/>
    </row>
    <row r="284" spans="1:9" ht="15.75" customHeight="1" x14ac:dyDescent="0.2">
      <c r="A284" s="13"/>
      <c r="B284" s="14"/>
      <c r="C284" s="13"/>
      <c r="D284" s="13"/>
      <c r="E284" s="14"/>
      <c r="F284" s="13"/>
      <c r="G284" s="14"/>
      <c r="H284" s="15"/>
      <c r="I284" s="15"/>
    </row>
    <row r="285" spans="1:9" ht="15.75" customHeight="1" x14ac:dyDescent="0.2">
      <c r="A285" s="13"/>
      <c r="B285" s="14"/>
      <c r="C285" s="13"/>
      <c r="D285" s="13"/>
      <c r="E285" s="14"/>
      <c r="F285" s="13"/>
      <c r="G285" s="14"/>
      <c r="H285" s="15"/>
      <c r="I285" s="15"/>
    </row>
    <row r="286" spans="1:9" ht="15.75" customHeight="1" x14ac:dyDescent="0.2">
      <c r="A286" s="13"/>
      <c r="B286" s="14"/>
      <c r="C286" s="13"/>
      <c r="D286" s="13"/>
      <c r="E286" s="14"/>
      <c r="F286" s="13"/>
      <c r="G286" s="14"/>
      <c r="H286" s="15"/>
      <c r="I286" s="15"/>
    </row>
    <row r="287" spans="1:9" ht="15.75" customHeight="1" x14ac:dyDescent="0.2">
      <c r="A287" s="13"/>
      <c r="B287" s="14"/>
      <c r="C287" s="13"/>
      <c r="D287" s="13"/>
      <c r="E287" s="14"/>
      <c r="F287" s="13"/>
      <c r="G287" s="14"/>
      <c r="H287" s="15"/>
      <c r="I287" s="15"/>
    </row>
    <row r="288" spans="1:9" ht="15.75" customHeight="1" x14ac:dyDescent="0.2">
      <c r="A288" s="13"/>
      <c r="B288" s="14"/>
      <c r="C288" s="13"/>
      <c r="D288" s="13"/>
      <c r="E288" s="14"/>
      <c r="F288" s="13"/>
      <c r="G288" s="14"/>
      <c r="H288" s="15"/>
      <c r="I288" s="15"/>
    </row>
    <row r="289" spans="1:9" ht="15.75" customHeight="1" x14ac:dyDescent="0.2">
      <c r="A289" s="13"/>
      <c r="B289" s="14"/>
      <c r="C289" s="13"/>
      <c r="D289" s="13"/>
      <c r="E289" s="14"/>
      <c r="F289" s="13"/>
      <c r="G289" s="14"/>
      <c r="H289" s="15"/>
      <c r="I289" s="15"/>
    </row>
    <row r="290" spans="1:9" ht="15.75" customHeight="1" x14ac:dyDescent="0.2">
      <c r="A290" s="13"/>
      <c r="B290" s="14"/>
      <c r="C290" s="13"/>
      <c r="D290" s="13"/>
      <c r="E290" s="14"/>
      <c r="F290" s="13"/>
      <c r="G290" s="14"/>
      <c r="H290" s="15"/>
      <c r="I290" s="15"/>
    </row>
    <row r="291" spans="1:9" ht="15.75" customHeight="1" x14ac:dyDescent="0.2">
      <c r="A291" s="13"/>
      <c r="B291" s="14"/>
      <c r="C291" s="13"/>
      <c r="D291" s="13"/>
      <c r="E291" s="14"/>
      <c r="F291" s="13"/>
      <c r="G291" s="14"/>
      <c r="H291" s="15"/>
      <c r="I291" s="15"/>
    </row>
    <row r="292" spans="1:9" ht="15.75" customHeight="1" x14ac:dyDescent="0.2">
      <c r="A292" s="13"/>
      <c r="B292" s="14"/>
      <c r="C292" s="13"/>
      <c r="D292" s="13"/>
      <c r="E292" s="14"/>
      <c r="F292" s="13"/>
      <c r="G292" s="14"/>
      <c r="H292" s="15"/>
      <c r="I292" s="15"/>
    </row>
    <row r="293" spans="1:9" ht="15.75" customHeight="1" x14ac:dyDescent="0.2">
      <c r="A293" s="13"/>
      <c r="B293" s="14"/>
      <c r="C293" s="13"/>
      <c r="D293" s="13"/>
      <c r="E293" s="14"/>
      <c r="F293" s="13"/>
      <c r="G293" s="14"/>
      <c r="H293" s="15"/>
      <c r="I293" s="15"/>
    </row>
    <row r="294" spans="1:9" ht="15.75" customHeight="1" x14ac:dyDescent="0.2">
      <c r="A294" s="13"/>
      <c r="B294" s="14"/>
      <c r="C294" s="13"/>
      <c r="D294" s="13"/>
      <c r="E294" s="14"/>
      <c r="F294" s="13"/>
      <c r="G294" s="14"/>
      <c r="H294" s="15"/>
      <c r="I294" s="15"/>
    </row>
    <row r="295" spans="1:9" ht="15.75" customHeight="1" x14ac:dyDescent="0.2">
      <c r="A295" s="13"/>
      <c r="B295" s="14"/>
      <c r="C295" s="13"/>
      <c r="D295" s="13"/>
      <c r="E295" s="14"/>
      <c r="F295" s="13"/>
      <c r="G295" s="14"/>
      <c r="H295" s="15"/>
      <c r="I295" s="15"/>
    </row>
    <row r="296" spans="1:9" ht="15.75" customHeight="1" x14ac:dyDescent="0.2">
      <c r="A296" s="13"/>
      <c r="B296" s="14"/>
      <c r="C296" s="13"/>
      <c r="D296" s="13"/>
      <c r="E296" s="14"/>
      <c r="F296" s="13"/>
      <c r="G296" s="14"/>
      <c r="H296" s="15"/>
      <c r="I296" s="15"/>
    </row>
    <row r="297" spans="1:9" ht="15.75" customHeight="1" x14ac:dyDescent="0.2">
      <c r="A297" s="13"/>
      <c r="B297" s="14"/>
      <c r="C297" s="13"/>
      <c r="D297" s="13"/>
      <c r="E297" s="14"/>
      <c r="F297" s="13"/>
      <c r="G297" s="14"/>
      <c r="H297" s="15"/>
      <c r="I297" s="15"/>
    </row>
    <row r="298" spans="1:9" ht="15.75" customHeight="1" x14ac:dyDescent="0.2">
      <c r="A298" s="13"/>
      <c r="B298" s="14"/>
      <c r="C298" s="13"/>
      <c r="D298" s="13"/>
      <c r="E298" s="14"/>
      <c r="F298" s="13"/>
      <c r="G298" s="14"/>
      <c r="H298" s="15"/>
      <c r="I298" s="15"/>
    </row>
    <row r="299" spans="1:9" ht="15.75" customHeight="1" x14ac:dyDescent="0.2">
      <c r="A299" s="13"/>
      <c r="B299" s="14"/>
      <c r="C299" s="13"/>
      <c r="D299" s="13"/>
      <c r="E299" s="14"/>
      <c r="F299" s="13"/>
      <c r="G299" s="14"/>
      <c r="H299" s="15"/>
      <c r="I299" s="15"/>
    </row>
    <row r="300" spans="1:9" ht="15.75" customHeight="1" x14ac:dyDescent="0.2">
      <c r="A300" s="13"/>
      <c r="B300" s="14"/>
      <c r="C300" s="13"/>
      <c r="D300" s="13"/>
      <c r="E300" s="14"/>
      <c r="F300" s="13"/>
      <c r="G300" s="14"/>
      <c r="H300" s="15"/>
      <c r="I300" s="15"/>
    </row>
    <row r="301" spans="1:9" ht="15.75" customHeight="1" x14ac:dyDescent="0.2">
      <c r="A301" s="13"/>
      <c r="B301" s="14"/>
      <c r="C301" s="13"/>
      <c r="D301" s="13"/>
      <c r="E301" s="14"/>
      <c r="F301" s="13"/>
      <c r="G301" s="14"/>
      <c r="H301" s="15"/>
      <c r="I301" s="15"/>
    </row>
    <row r="302" spans="1:9" ht="15.75" customHeight="1" x14ac:dyDescent="0.2">
      <c r="A302" s="13"/>
      <c r="B302" s="14"/>
      <c r="C302" s="13"/>
      <c r="D302" s="13"/>
      <c r="E302" s="14"/>
      <c r="F302" s="13"/>
      <c r="G302" s="14"/>
      <c r="H302" s="15"/>
      <c r="I302" s="15"/>
    </row>
    <row r="303" spans="1:9" ht="15.75" customHeight="1" x14ac:dyDescent="0.2">
      <c r="A303" s="13"/>
      <c r="B303" s="14"/>
      <c r="C303" s="13"/>
      <c r="D303" s="13"/>
      <c r="E303" s="14"/>
      <c r="F303" s="13"/>
      <c r="G303" s="14"/>
      <c r="H303" s="15"/>
      <c r="I303" s="15"/>
    </row>
    <row r="304" spans="1:9" ht="15.75" customHeight="1" x14ac:dyDescent="0.2">
      <c r="A304" s="13"/>
      <c r="B304" s="14"/>
      <c r="C304" s="13"/>
      <c r="D304" s="13"/>
      <c r="E304" s="14"/>
      <c r="F304" s="13"/>
      <c r="G304" s="14"/>
      <c r="H304" s="15"/>
      <c r="I304" s="15"/>
    </row>
    <row r="305" spans="1:9" ht="15.75" customHeight="1" x14ac:dyDescent="0.2">
      <c r="A305" s="13"/>
      <c r="B305" s="14"/>
      <c r="C305" s="13"/>
      <c r="D305" s="13"/>
      <c r="E305" s="14"/>
      <c r="F305" s="13"/>
      <c r="G305" s="14"/>
      <c r="H305" s="15"/>
      <c r="I305" s="15"/>
    </row>
    <row r="306" spans="1:9" ht="15.75" customHeight="1" x14ac:dyDescent="0.2">
      <c r="A306" s="13"/>
      <c r="B306" s="14"/>
      <c r="C306" s="13"/>
      <c r="D306" s="13"/>
      <c r="E306" s="14"/>
      <c r="F306" s="13"/>
      <c r="G306" s="14"/>
      <c r="H306" s="15"/>
      <c r="I306" s="15"/>
    </row>
    <row r="307" spans="1:9" ht="15.75" customHeight="1" x14ac:dyDescent="0.2">
      <c r="A307" s="13"/>
      <c r="B307" s="14"/>
      <c r="C307" s="13"/>
      <c r="D307" s="13"/>
      <c r="E307" s="14"/>
      <c r="F307" s="13"/>
      <c r="G307" s="14"/>
      <c r="H307" s="15"/>
      <c r="I307" s="15"/>
    </row>
    <row r="308" spans="1:9" ht="15.75" customHeight="1" x14ac:dyDescent="0.2">
      <c r="A308" s="13"/>
      <c r="B308" s="14"/>
      <c r="C308" s="13"/>
      <c r="D308" s="13"/>
      <c r="E308" s="14"/>
      <c r="F308" s="13"/>
      <c r="G308" s="14"/>
      <c r="H308" s="15"/>
      <c r="I308" s="15"/>
    </row>
    <row r="309" spans="1:9" ht="15.75" customHeight="1" x14ac:dyDescent="0.2">
      <c r="A309" s="13"/>
      <c r="B309" s="14"/>
      <c r="C309" s="13"/>
      <c r="D309" s="13"/>
      <c r="E309" s="14"/>
      <c r="F309" s="13"/>
      <c r="G309" s="14"/>
      <c r="H309" s="15"/>
      <c r="I309" s="15"/>
    </row>
    <row r="310" spans="1:9" ht="15.75" customHeight="1" x14ac:dyDescent="0.2">
      <c r="A310" s="13"/>
      <c r="B310" s="14"/>
      <c r="C310" s="13"/>
      <c r="D310" s="13"/>
      <c r="E310" s="14"/>
      <c r="F310" s="13"/>
      <c r="G310" s="14"/>
      <c r="H310" s="15"/>
      <c r="I310" s="15"/>
    </row>
    <row r="311" spans="1:9" ht="15.75" customHeight="1" x14ac:dyDescent="0.2">
      <c r="A311" s="13"/>
      <c r="B311" s="14"/>
      <c r="C311" s="13"/>
      <c r="D311" s="13"/>
      <c r="E311" s="14"/>
      <c r="F311" s="13"/>
      <c r="G311" s="14"/>
      <c r="H311" s="15"/>
      <c r="I311" s="15"/>
    </row>
    <row r="312" spans="1:9" ht="15.75" customHeight="1" x14ac:dyDescent="0.2">
      <c r="A312" s="13"/>
      <c r="B312" s="14"/>
      <c r="C312" s="13"/>
      <c r="D312" s="13"/>
      <c r="E312" s="14"/>
      <c r="F312" s="13"/>
      <c r="G312" s="14"/>
      <c r="H312" s="15"/>
      <c r="I312" s="15"/>
    </row>
    <row r="313" spans="1:9" ht="15.75" customHeight="1" x14ac:dyDescent="0.2">
      <c r="A313" s="13"/>
      <c r="B313" s="14"/>
      <c r="C313" s="13"/>
      <c r="D313" s="13"/>
      <c r="E313" s="14"/>
      <c r="F313" s="13"/>
      <c r="G313" s="14"/>
      <c r="H313" s="15"/>
      <c r="I313" s="15"/>
    </row>
    <row r="314" spans="1:9" ht="15.75" customHeight="1" x14ac:dyDescent="0.2">
      <c r="A314" s="13"/>
      <c r="B314" s="14"/>
      <c r="C314" s="13"/>
      <c r="D314" s="13"/>
      <c r="E314" s="14"/>
      <c r="F314" s="13"/>
      <c r="G314" s="14"/>
      <c r="H314" s="15"/>
      <c r="I314" s="15"/>
    </row>
    <row r="315" spans="1:9" ht="15.75" customHeight="1" x14ac:dyDescent="0.2">
      <c r="A315" s="13"/>
      <c r="B315" s="14"/>
      <c r="C315" s="13"/>
      <c r="D315" s="13"/>
      <c r="E315" s="14"/>
      <c r="F315" s="13"/>
      <c r="G315" s="14"/>
      <c r="H315" s="15"/>
      <c r="I315" s="15"/>
    </row>
    <row r="316" spans="1:9" ht="15.75" customHeight="1" x14ac:dyDescent="0.2">
      <c r="A316" s="13"/>
      <c r="B316" s="14"/>
      <c r="C316" s="13"/>
      <c r="D316" s="13"/>
      <c r="E316" s="14"/>
      <c r="F316" s="13"/>
      <c r="G316" s="14"/>
      <c r="H316" s="15"/>
      <c r="I316" s="15"/>
    </row>
    <row r="317" spans="1:9" ht="15.75" customHeight="1" x14ac:dyDescent="0.2">
      <c r="A317" s="13"/>
      <c r="B317" s="14"/>
      <c r="C317" s="13"/>
      <c r="D317" s="13"/>
      <c r="E317" s="14"/>
      <c r="F317" s="13"/>
      <c r="G317" s="14"/>
      <c r="H317" s="15"/>
      <c r="I317" s="15"/>
    </row>
    <row r="318" spans="1:9" ht="15.75" customHeight="1" x14ac:dyDescent="0.2">
      <c r="A318" s="13"/>
      <c r="B318" s="14"/>
      <c r="C318" s="13"/>
      <c r="D318" s="13"/>
      <c r="E318" s="14"/>
      <c r="F318" s="13"/>
      <c r="G318" s="14"/>
      <c r="H318" s="15"/>
      <c r="I318" s="15"/>
    </row>
    <row r="319" spans="1:9" ht="15.75" customHeight="1" x14ac:dyDescent="0.2">
      <c r="A319" s="13"/>
      <c r="B319" s="14"/>
      <c r="C319" s="13"/>
      <c r="D319" s="13"/>
      <c r="E319" s="14"/>
      <c r="F319" s="13"/>
      <c r="G319" s="14"/>
      <c r="H319" s="15"/>
      <c r="I319" s="15"/>
    </row>
    <row r="320" spans="1:9" ht="15.75" customHeight="1" x14ac:dyDescent="0.2">
      <c r="A320" s="13"/>
      <c r="B320" s="14"/>
      <c r="C320" s="13"/>
      <c r="D320" s="13"/>
      <c r="E320" s="14"/>
      <c r="F320" s="13"/>
      <c r="G320" s="14"/>
      <c r="H320" s="15"/>
      <c r="I320" s="15"/>
    </row>
    <row r="321" spans="1:9" ht="15.75" customHeight="1" x14ac:dyDescent="0.2">
      <c r="A321" s="13"/>
      <c r="B321" s="14"/>
      <c r="C321" s="13"/>
      <c r="D321" s="13"/>
      <c r="E321" s="14"/>
      <c r="F321" s="13"/>
      <c r="G321" s="14"/>
      <c r="H321" s="15"/>
      <c r="I321" s="15"/>
    </row>
    <row r="322" spans="1:9" ht="15.75" customHeight="1" x14ac:dyDescent="0.2">
      <c r="A322" s="13"/>
      <c r="B322" s="14"/>
      <c r="C322" s="13"/>
      <c r="D322" s="13"/>
      <c r="E322" s="14"/>
      <c r="F322" s="13"/>
      <c r="G322" s="14"/>
      <c r="H322" s="15"/>
      <c r="I322" s="15"/>
    </row>
    <row r="323" spans="1:9" ht="15.75" customHeight="1" x14ac:dyDescent="0.2">
      <c r="A323" s="13"/>
      <c r="B323" s="14"/>
      <c r="C323" s="13"/>
      <c r="D323" s="13"/>
      <c r="E323" s="14"/>
      <c r="F323" s="13"/>
      <c r="G323" s="14"/>
      <c r="H323" s="15"/>
      <c r="I323" s="15"/>
    </row>
    <row r="324" spans="1:9" ht="15.75" customHeight="1" x14ac:dyDescent="0.2">
      <c r="A324" s="13"/>
      <c r="B324" s="14"/>
      <c r="C324" s="13"/>
      <c r="D324" s="13"/>
      <c r="E324" s="14"/>
      <c r="F324" s="13"/>
      <c r="G324" s="14"/>
      <c r="H324" s="15"/>
      <c r="I324" s="15"/>
    </row>
    <row r="325" spans="1:9" ht="15.75" customHeight="1" x14ac:dyDescent="0.2">
      <c r="A325" s="13"/>
      <c r="B325" s="14"/>
      <c r="C325" s="13"/>
      <c r="D325" s="13"/>
      <c r="E325" s="14"/>
      <c r="F325" s="13"/>
      <c r="G325" s="14"/>
      <c r="H325" s="15"/>
      <c r="I325" s="15"/>
    </row>
    <row r="326" spans="1:9" ht="15.75" customHeight="1" x14ac:dyDescent="0.2">
      <c r="A326" s="13"/>
      <c r="B326" s="14"/>
      <c r="C326" s="13"/>
      <c r="D326" s="13"/>
      <c r="E326" s="14"/>
      <c r="F326" s="13"/>
      <c r="G326" s="14"/>
      <c r="H326" s="15"/>
      <c r="I326" s="15"/>
    </row>
    <row r="327" spans="1:9" ht="15.75" customHeight="1" x14ac:dyDescent="0.2">
      <c r="A327" s="13"/>
      <c r="B327" s="14"/>
      <c r="C327" s="13"/>
      <c r="D327" s="13"/>
      <c r="E327" s="14"/>
      <c r="F327" s="13"/>
      <c r="G327" s="14"/>
      <c r="H327" s="15"/>
      <c r="I327" s="15"/>
    </row>
    <row r="328" spans="1:9" ht="15.75" customHeight="1" x14ac:dyDescent="0.2">
      <c r="A328" s="13"/>
      <c r="B328" s="14"/>
      <c r="C328" s="13"/>
      <c r="D328" s="13"/>
      <c r="E328" s="14"/>
      <c r="F328" s="13"/>
      <c r="G328" s="14"/>
      <c r="H328" s="15"/>
      <c r="I328" s="15"/>
    </row>
    <row r="329" spans="1:9" ht="15.75" customHeight="1" x14ac:dyDescent="0.2">
      <c r="A329" s="13"/>
      <c r="B329" s="14"/>
      <c r="C329" s="13"/>
      <c r="D329" s="13"/>
      <c r="E329" s="14"/>
      <c r="F329" s="13"/>
      <c r="G329" s="14"/>
      <c r="H329" s="15"/>
      <c r="I329" s="15"/>
    </row>
    <row r="330" spans="1:9" ht="15.75" customHeight="1" x14ac:dyDescent="0.2">
      <c r="A330" s="13"/>
      <c r="B330" s="14"/>
      <c r="C330" s="13"/>
      <c r="D330" s="13"/>
      <c r="E330" s="14"/>
      <c r="F330" s="13"/>
      <c r="G330" s="14"/>
      <c r="H330" s="15"/>
      <c r="I330" s="15"/>
    </row>
    <row r="331" spans="1:9" ht="15.75" customHeight="1" x14ac:dyDescent="0.2">
      <c r="A331" s="13"/>
      <c r="B331" s="14"/>
      <c r="C331" s="13"/>
      <c r="D331" s="13"/>
      <c r="E331" s="14"/>
      <c r="F331" s="13"/>
      <c r="G331" s="14"/>
      <c r="H331" s="15"/>
      <c r="I331" s="15"/>
    </row>
    <row r="332" spans="1:9" ht="15.75" customHeight="1" x14ac:dyDescent="0.2">
      <c r="A332" s="13"/>
      <c r="B332" s="14"/>
      <c r="C332" s="13"/>
      <c r="D332" s="13"/>
      <c r="E332" s="14"/>
      <c r="F332" s="13"/>
      <c r="G332" s="14"/>
      <c r="H332" s="15"/>
      <c r="I332" s="15"/>
    </row>
    <row r="333" spans="1:9" ht="15.75" customHeight="1" x14ac:dyDescent="0.2">
      <c r="A333" s="13"/>
      <c r="B333" s="14"/>
      <c r="C333" s="13"/>
      <c r="D333" s="13"/>
      <c r="E333" s="14"/>
      <c r="F333" s="13"/>
      <c r="G333" s="14"/>
      <c r="H333" s="15"/>
      <c r="I333" s="15"/>
    </row>
    <row r="334" spans="1:9" ht="15.75" customHeight="1" x14ac:dyDescent="0.2">
      <c r="A334" s="13"/>
      <c r="B334" s="14"/>
      <c r="C334" s="13"/>
      <c r="D334" s="13"/>
      <c r="E334" s="14"/>
      <c r="F334" s="13"/>
      <c r="G334" s="14"/>
      <c r="H334" s="15"/>
      <c r="I334" s="15"/>
    </row>
    <row r="335" spans="1:9" ht="15.75" customHeight="1" x14ac:dyDescent="0.2">
      <c r="A335" s="13"/>
      <c r="B335" s="14"/>
      <c r="C335" s="13"/>
      <c r="D335" s="13"/>
      <c r="E335" s="14"/>
      <c r="F335" s="13"/>
      <c r="G335" s="14"/>
      <c r="H335" s="15"/>
      <c r="I335" s="15"/>
    </row>
    <row r="336" spans="1:9" ht="15.75" customHeight="1" x14ac:dyDescent="0.2">
      <c r="A336" s="13"/>
      <c r="B336" s="14"/>
      <c r="C336" s="13"/>
      <c r="D336" s="13"/>
      <c r="E336" s="14"/>
      <c r="F336" s="13"/>
      <c r="G336" s="14"/>
      <c r="H336" s="15"/>
      <c r="I336" s="15"/>
    </row>
    <row r="337" spans="1:9" ht="15.75" customHeight="1" x14ac:dyDescent="0.2">
      <c r="A337" s="13"/>
      <c r="B337" s="14"/>
      <c r="C337" s="13"/>
      <c r="D337" s="13"/>
      <c r="E337" s="14"/>
      <c r="F337" s="13"/>
      <c r="G337" s="14"/>
      <c r="H337" s="15"/>
      <c r="I337" s="15"/>
    </row>
    <row r="338" spans="1:9" ht="15.75" customHeight="1" x14ac:dyDescent="0.2">
      <c r="A338" s="13"/>
      <c r="B338" s="14"/>
      <c r="C338" s="13"/>
      <c r="D338" s="13"/>
      <c r="E338" s="14"/>
      <c r="F338" s="13"/>
      <c r="G338" s="14"/>
      <c r="H338" s="15"/>
      <c r="I338" s="15"/>
    </row>
    <row r="339" spans="1:9" ht="15.75" customHeight="1" x14ac:dyDescent="0.2">
      <c r="A339" s="13"/>
      <c r="B339" s="14"/>
      <c r="C339" s="13"/>
      <c r="D339" s="13"/>
      <c r="E339" s="14"/>
      <c r="F339" s="13"/>
      <c r="G339" s="14"/>
      <c r="H339" s="15"/>
      <c r="I339" s="15"/>
    </row>
    <row r="340" spans="1:9" ht="15.75" customHeight="1" x14ac:dyDescent="0.2">
      <c r="A340" s="13"/>
      <c r="B340" s="14"/>
      <c r="C340" s="13"/>
      <c r="D340" s="13"/>
      <c r="E340" s="14"/>
      <c r="F340" s="13"/>
      <c r="G340" s="14"/>
      <c r="H340" s="15"/>
      <c r="I340" s="15"/>
    </row>
    <row r="341" spans="1:9" ht="15.75" customHeight="1" x14ac:dyDescent="0.2">
      <c r="A341" s="13"/>
      <c r="B341" s="14"/>
      <c r="C341" s="13"/>
      <c r="D341" s="13"/>
      <c r="E341" s="14"/>
      <c r="F341" s="13"/>
      <c r="G341" s="14"/>
      <c r="H341" s="15"/>
      <c r="I341" s="15"/>
    </row>
    <row r="342" spans="1:9" ht="15.75" customHeight="1" x14ac:dyDescent="0.2">
      <c r="A342" s="13"/>
      <c r="B342" s="14"/>
      <c r="C342" s="13"/>
      <c r="D342" s="13"/>
      <c r="E342" s="14"/>
      <c r="F342" s="13"/>
      <c r="G342" s="14"/>
      <c r="H342" s="15"/>
      <c r="I342" s="15"/>
    </row>
    <row r="343" spans="1:9" ht="15.75" customHeight="1" x14ac:dyDescent="0.2">
      <c r="A343" s="13"/>
      <c r="B343" s="14"/>
      <c r="C343" s="13"/>
      <c r="D343" s="13"/>
      <c r="E343" s="14"/>
      <c r="F343" s="13"/>
      <c r="G343" s="14"/>
      <c r="H343" s="15"/>
      <c r="I343" s="15"/>
    </row>
    <row r="344" spans="1:9" ht="15.75" customHeight="1" x14ac:dyDescent="0.2">
      <c r="A344" s="13"/>
      <c r="B344" s="14"/>
      <c r="C344" s="13"/>
      <c r="D344" s="13"/>
      <c r="E344" s="14"/>
      <c r="F344" s="13"/>
      <c r="G344" s="14"/>
      <c r="H344" s="15"/>
      <c r="I344" s="15"/>
    </row>
    <row r="345" spans="1:9" ht="15.75" customHeight="1" x14ac:dyDescent="0.2">
      <c r="A345" s="13"/>
      <c r="B345" s="14"/>
      <c r="C345" s="13"/>
      <c r="D345" s="13"/>
      <c r="E345" s="14"/>
      <c r="F345" s="13"/>
      <c r="G345" s="14"/>
      <c r="H345" s="15"/>
      <c r="I345" s="15"/>
    </row>
    <row r="346" spans="1:9" ht="15.75" customHeight="1" x14ac:dyDescent="0.2">
      <c r="A346" s="13"/>
      <c r="B346" s="14"/>
      <c r="C346" s="13"/>
      <c r="D346" s="13"/>
      <c r="E346" s="14"/>
      <c r="F346" s="13"/>
      <c r="G346" s="14"/>
      <c r="H346" s="15"/>
      <c r="I346" s="15"/>
    </row>
    <row r="347" spans="1:9" ht="15.75" customHeight="1" x14ac:dyDescent="0.2">
      <c r="A347" s="13"/>
      <c r="B347" s="14"/>
      <c r="C347" s="13"/>
      <c r="D347" s="13"/>
      <c r="E347" s="14"/>
      <c r="F347" s="13"/>
      <c r="G347" s="14"/>
      <c r="H347" s="15"/>
      <c r="I347" s="15"/>
    </row>
    <row r="348" spans="1:9" ht="15.75" customHeight="1" x14ac:dyDescent="0.2">
      <c r="A348" s="13"/>
      <c r="B348" s="14"/>
      <c r="C348" s="13"/>
      <c r="D348" s="13"/>
      <c r="E348" s="14"/>
      <c r="F348" s="13"/>
      <c r="G348" s="14"/>
      <c r="H348" s="15"/>
      <c r="I348" s="15"/>
    </row>
    <row r="349" spans="1:9" ht="15.75" customHeight="1" x14ac:dyDescent="0.2">
      <c r="A349" s="13"/>
      <c r="B349" s="14"/>
      <c r="C349" s="13"/>
      <c r="D349" s="13"/>
      <c r="E349" s="14"/>
      <c r="F349" s="13"/>
      <c r="G349" s="14"/>
      <c r="H349" s="15"/>
      <c r="I349" s="15"/>
    </row>
    <row r="350" spans="1:9" ht="15.75" customHeight="1" x14ac:dyDescent="0.2">
      <c r="A350" s="13"/>
      <c r="B350" s="14"/>
      <c r="C350" s="13"/>
      <c r="D350" s="13"/>
      <c r="E350" s="14"/>
      <c r="F350" s="13"/>
      <c r="G350" s="14"/>
      <c r="H350" s="15"/>
      <c r="I350" s="15"/>
    </row>
    <row r="351" spans="1:9" ht="15.75" customHeight="1" x14ac:dyDescent="0.2">
      <c r="A351" s="13"/>
      <c r="B351" s="14"/>
      <c r="C351" s="13"/>
      <c r="D351" s="13"/>
      <c r="E351" s="14"/>
      <c r="F351" s="13"/>
      <c r="G351" s="14"/>
      <c r="H351" s="15"/>
      <c r="I351" s="15"/>
    </row>
    <row r="352" spans="1:9" ht="15.75" customHeight="1" x14ac:dyDescent="0.2">
      <c r="A352" s="13"/>
      <c r="B352" s="14"/>
      <c r="C352" s="13"/>
      <c r="D352" s="13"/>
      <c r="E352" s="14"/>
      <c r="F352" s="13"/>
      <c r="G352" s="14"/>
      <c r="H352" s="15"/>
      <c r="I352" s="15"/>
    </row>
    <row r="353" spans="1:9" ht="15.75" customHeight="1" x14ac:dyDescent="0.2">
      <c r="A353" s="13"/>
      <c r="B353" s="14"/>
      <c r="C353" s="13"/>
      <c r="D353" s="13"/>
      <c r="E353" s="14"/>
      <c r="F353" s="13"/>
      <c r="G353" s="14"/>
      <c r="H353" s="15"/>
      <c r="I353" s="15"/>
    </row>
    <row r="354" spans="1:9" ht="15.75" customHeight="1" x14ac:dyDescent="0.2">
      <c r="A354" s="13"/>
      <c r="B354" s="14"/>
      <c r="C354" s="13"/>
      <c r="D354" s="13"/>
      <c r="E354" s="14"/>
      <c r="F354" s="13"/>
      <c r="G354" s="14"/>
      <c r="H354" s="15"/>
      <c r="I354" s="15"/>
    </row>
    <row r="355" spans="1:9" ht="15.75" customHeight="1" x14ac:dyDescent="0.2">
      <c r="A355" s="13"/>
      <c r="B355" s="14"/>
      <c r="C355" s="13"/>
      <c r="D355" s="13"/>
      <c r="E355" s="14"/>
      <c r="F355" s="13"/>
      <c r="G355" s="14"/>
      <c r="H355" s="15"/>
      <c r="I355" s="15"/>
    </row>
    <row r="356" spans="1:9" ht="15.75" customHeight="1" x14ac:dyDescent="0.2">
      <c r="A356" s="13"/>
      <c r="B356" s="14"/>
      <c r="C356" s="13"/>
      <c r="D356" s="13"/>
      <c r="E356" s="14"/>
      <c r="F356" s="13"/>
      <c r="G356" s="14"/>
      <c r="H356" s="15"/>
      <c r="I356" s="15"/>
    </row>
    <row r="357" spans="1:9" ht="15.75" customHeight="1" x14ac:dyDescent="0.2">
      <c r="A357" s="13"/>
      <c r="B357" s="14"/>
      <c r="C357" s="13"/>
      <c r="D357" s="13"/>
      <c r="E357" s="14"/>
      <c r="F357" s="13"/>
      <c r="G357" s="14"/>
      <c r="H357" s="15"/>
      <c r="I357" s="15"/>
    </row>
    <row r="358" spans="1:9" ht="15.75" customHeight="1" x14ac:dyDescent="0.2">
      <c r="A358" s="13"/>
      <c r="B358" s="14"/>
      <c r="C358" s="13"/>
      <c r="D358" s="13"/>
      <c r="E358" s="14"/>
      <c r="F358" s="13"/>
      <c r="G358" s="14"/>
      <c r="H358" s="15"/>
      <c r="I358" s="15"/>
    </row>
    <row r="359" spans="1:9" ht="15.75" customHeight="1" x14ac:dyDescent="0.2">
      <c r="A359" s="13"/>
      <c r="B359" s="14"/>
      <c r="C359" s="13"/>
      <c r="D359" s="13"/>
      <c r="E359" s="14"/>
      <c r="F359" s="13"/>
      <c r="G359" s="14"/>
      <c r="H359" s="15"/>
      <c r="I359" s="15"/>
    </row>
    <row r="360" spans="1:9" ht="15.75" customHeight="1" x14ac:dyDescent="0.2">
      <c r="A360" s="13"/>
      <c r="B360" s="14"/>
      <c r="C360" s="13"/>
      <c r="D360" s="13"/>
      <c r="E360" s="14"/>
      <c r="F360" s="13"/>
      <c r="G360" s="14"/>
      <c r="H360" s="15"/>
      <c r="I360" s="15"/>
    </row>
    <row r="361" spans="1:9" ht="15.75" customHeight="1" x14ac:dyDescent="0.2">
      <c r="A361" s="13"/>
      <c r="B361" s="14"/>
      <c r="C361" s="13"/>
      <c r="D361" s="13"/>
      <c r="E361" s="14"/>
      <c r="F361" s="13"/>
      <c r="G361" s="14"/>
      <c r="H361" s="15"/>
      <c r="I361" s="15"/>
    </row>
    <row r="362" spans="1:9" ht="15.75" customHeight="1" x14ac:dyDescent="0.2">
      <c r="A362" s="13"/>
      <c r="B362" s="14"/>
      <c r="C362" s="13"/>
      <c r="D362" s="13"/>
      <c r="E362" s="14"/>
      <c r="F362" s="13"/>
      <c r="G362" s="14"/>
      <c r="H362" s="15"/>
      <c r="I362" s="15"/>
    </row>
    <row r="363" spans="1:9" ht="15.75" customHeight="1" x14ac:dyDescent="0.2">
      <c r="A363" s="13"/>
      <c r="B363" s="14"/>
      <c r="C363" s="13"/>
      <c r="D363" s="13"/>
      <c r="E363" s="14"/>
      <c r="F363" s="13"/>
      <c r="G363" s="14"/>
      <c r="H363" s="15"/>
      <c r="I363" s="15"/>
    </row>
    <row r="364" spans="1:9" ht="15.75" customHeight="1" x14ac:dyDescent="0.2">
      <c r="A364" s="13"/>
      <c r="B364" s="14"/>
      <c r="C364" s="13"/>
      <c r="D364" s="13"/>
      <c r="E364" s="14"/>
      <c r="F364" s="13"/>
      <c r="G364" s="14"/>
      <c r="H364" s="15"/>
      <c r="I364" s="15"/>
    </row>
    <row r="365" spans="1:9" ht="15.75" customHeight="1" x14ac:dyDescent="0.2">
      <c r="A365" s="13"/>
      <c r="B365" s="14"/>
      <c r="C365" s="13"/>
      <c r="D365" s="13"/>
      <c r="E365" s="14"/>
      <c r="F365" s="13"/>
      <c r="G365" s="14"/>
      <c r="H365" s="15"/>
      <c r="I365" s="15"/>
    </row>
    <row r="366" spans="1:9" ht="15.75" customHeight="1" x14ac:dyDescent="0.2">
      <c r="A366" s="13"/>
      <c r="B366" s="14"/>
      <c r="C366" s="13"/>
      <c r="D366" s="13"/>
      <c r="E366" s="14"/>
      <c r="F366" s="13"/>
      <c r="G366" s="14"/>
      <c r="H366" s="15"/>
      <c r="I366" s="15"/>
    </row>
    <row r="367" spans="1:9" ht="15.75" customHeight="1" x14ac:dyDescent="0.2">
      <c r="A367" s="13"/>
      <c r="B367" s="14"/>
      <c r="C367" s="13"/>
      <c r="D367" s="13"/>
      <c r="E367" s="14"/>
      <c r="F367" s="13"/>
      <c r="G367" s="14"/>
      <c r="H367" s="15"/>
      <c r="I367" s="15"/>
    </row>
    <row r="368" spans="1:9" ht="15.75" customHeight="1" x14ac:dyDescent="0.2">
      <c r="A368" s="13"/>
      <c r="B368" s="14"/>
      <c r="C368" s="13"/>
      <c r="D368" s="13"/>
      <c r="E368" s="14"/>
      <c r="F368" s="13"/>
      <c r="G368" s="14"/>
      <c r="H368" s="15"/>
      <c r="I368" s="15"/>
    </row>
    <row r="369" spans="1:9" ht="15.75" customHeight="1" x14ac:dyDescent="0.2">
      <c r="A369" s="13"/>
      <c r="B369" s="14"/>
      <c r="C369" s="13"/>
      <c r="D369" s="13"/>
      <c r="E369" s="14"/>
      <c r="F369" s="13"/>
      <c r="G369" s="14"/>
      <c r="H369" s="15"/>
      <c r="I369" s="15"/>
    </row>
    <row r="370" spans="1:9" ht="15.75" customHeight="1" x14ac:dyDescent="0.2">
      <c r="A370" s="13"/>
      <c r="B370" s="14"/>
      <c r="C370" s="13"/>
      <c r="D370" s="13"/>
      <c r="E370" s="14"/>
      <c r="F370" s="13"/>
      <c r="G370" s="14"/>
      <c r="H370" s="15"/>
      <c r="I370" s="15"/>
    </row>
    <row r="371" spans="1:9" ht="15.75" customHeight="1" x14ac:dyDescent="0.2">
      <c r="A371" s="13"/>
      <c r="B371" s="14"/>
      <c r="C371" s="13"/>
      <c r="D371" s="13"/>
      <c r="E371" s="14"/>
      <c r="F371" s="13"/>
      <c r="G371" s="14"/>
      <c r="H371" s="15"/>
      <c r="I371" s="15"/>
    </row>
    <row r="372" spans="1:9" ht="15.75" customHeight="1" x14ac:dyDescent="0.2">
      <c r="A372" s="13"/>
      <c r="B372" s="14"/>
      <c r="C372" s="13"/>
      <c r="D372" s="13"/>
      <c r="E372" s="14"/>
      <c r="F372" s="13"/>
      <c r="G372" s="14"/>
      <c r="H372" s="15"/>
      <c r="I372" s="15"/>
    </row>
    <row r="373" spans="1:9" ht="15.75" customHeight="1" x14ac:dyDescent="0.2">
      <c r="A373" s="13"/>
      <c r="B373" s="14"/>
      <c r="C373" s="13"/>
      <c r="D373" s="13"/>
      <c r="E373" s="14"/>
      <c r="F373" s="13"/>
      <c r="G373" s="14"/>
      <c r="H373" s="15"/>
      <c r="I373" s="15"/>
    </row>
    <row r="374" spans="1:9" ht="15.75" customHeight="1" x14ac:dyDescent="0.2">
      <c r="A374" s="13"/>
      <c r="B374" s="14"/>
      <c r="C374" s="13"/>
      <c r="D374" s="13"/>
      <c r="E374" s="14"/>
      <c r="F374" s="13"/>
      <c r="G374" s="14"/>
      <c r="H374" s="15"/>
      <c r="I374" s="15"/>
    </row>
    <row r="375" spans="1:9" ht="15.75" customHeight="1" x14ac:dyDescent="0.2">
      <c r="A375" s="13"/>
      <c r="B375" s="14"/>
      <c r="C375" s="13"/>
      <c r="D375" s="13"/>
      <c r="E375" s="14"/>
      <c r="F375" s="13"/>
      <c r="G375" s="14"/>
      <c r="H375" s="15"/>
      <c r="I375" s="15"/>
    </row>
    <row r="376" spans="1:9" ht="15.75" customHeight="1" x14ac:dyDescent="0.2">
      <c r="A376" s="13"/>
      <c r="B376" s="14"/>
      <c r="C376" s="13"/>
      <c r="D376" s="13"/>
      <c r="E376" s="14"/>
      <c r="F376" s="13"/>
      <c r="G376" s="14"/>
      <c r="H376" s="15"/>
      <c r="I376" s="15"/>
    </row>
    <row r="377" spans="1:9" ht="15.75" customHeight="1" x14ac:dyDescent="0.2">
      <c r="A377" s="13"/>
      <c r="B377" s="14"/>
      <c r="C377" s="13"/>
      <c r="D377" s="13"/>
      <c r="E377" s="14"/>
      <c r="F377" s="13"/>
      <c r="G377" s="14"/>
      <c r="H377" s="15"/>
      <c r="I377" s="15"/>
    </row>
    <row r="378" spans="1:9" ht="15.75" customHeight="1" x14ac:dyDescent="0.2">
      <c r="A378" s="13"/>
      <c r="B378" s="14"/>
      <c r="C378" s="13"/>
      <c r="D378" s="13"/>
      <c r="E378" s="14"/>
      <c r="F378" s="13"/>
      <c r="G378" s="14"/>
      <c r="H378" s="15"/>
      <c r="I378" s="15"/>
    </row>
    <row r="379" spans="1:9" ht="15.75" customHeight="1" x14ac:dyDescent="0.2">
      <c r="A379" s="13"/>
      <c r="B379" s="14"/>
      <c r="C379" s="13"/>
      <c r="D379" s="13"/>
      <c r="E379" s="14"/>
      <c r="F379" s="13"/>
      <c r="G379" s="14"/>
      <c r="H379" s="15"/>
      <c r="I379" s="15"/>
    </row>
    <row r="546" spans="1:10" ht="15.75" customHeight="1" x14ac:dyDescent="0.2">
      <c r="A546" s="43" t="s">
        <v>337</v>
      </c>
      <c r="B546" s="36" t="s">
        <v>338</v>
      </c>
      <c r="C546" s="36" t="s">
        <v>339</v>
      </c>
      <c r="D546" s="36" t="s">
        <v>340</v>
      </c>
      <c r="E546" s="36" t="s">
        <v>342</v>
      </c>
      <c r="F546" s="36" t="s">
        <v>341</v>
      </c>
      <c r="G546" s="36" t="s">
        <v>343</v>
      </c>
      <c r="H546" s="36" t="s">
        <v>344</v>
      </c>
      <c r="I546" s="36"/>
      <c r="J546" t="s">
        <v>335</v>
      </c>
    </row>
  </sheetData>
  <autoFilter ref="A4:H379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 filterMode="1"/>
  <dimension ref="A1:J559"/>
  <sheetViews>
    <sheetView topLeftCell="E1" workbookViewId="0">
      <pane ySplit="1" topLeftCell="A2" activePane="bottomLeft" state="frozen"/>
      <selection pane="bottomLeft" activeCell="E2" sqref="E2"/>
    </sheetView>
  </sheetViews>
  <sheetFormatPr baseColWidth="10" defaultRowHeight="12.75" x14ac:dyDescent="0.2"/>
  <cols>
    <col min="7" max="7" width="51.140625" customWidth="1"/>
    <col min="8" max="8" width="22.140625" customWidth="1"/>
  </cols>
  <sheetData>
    <row r="1" spans="1:10" x14ac:dyDescent="0.2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181</v>
      </c>
      <c r="F1" s="13" t="s">
        <v>182</v>
      </c>
      <c r="G1" s="13" t="s">
        <v>183</v>
      </c>
      <c r="H1" s="13" t="s">
        <v>184</v>
      </c>
      <c r="I1" s="13" t="s">
        <v>185</v>
      </c>
      <c r="J1" s="13" t="s">
        <v>186</v>
      </c>
    </row>
    <row r="2" spans="1:10" x14ac:dyDescent="0.2">
      <c r="A2" s="13"/>
      <c r="B2" s="14"/>
      <c r="C2" s="13"/>
      <c r="D2" s="13"/>
      <c r="E2" s="13"/>
      <c r="F2" s="13"/>
      <c r="G2" s="13"/>
      <c r="H2" s="13"/>
      <c r="I2" s="15"/>
      <c r="J2" s="15"/>
    </row>
    <row r="3" spans="1:10" x14ac:dyDescent="0.2">
      <c r="A3" s="13"/>
      <c r="B3" s="14"/>
      <c r="C3" s="13"/>
      <c r="D3" s="13"/>
      <c r="E3" s="13"/>
      <c r="F3" s="13"/>
      <c r="G3" s="13"/>
      <c r="H3" s="13"/>
      <c r="I3" s="15"/>
      <c r="J3" s="15"/>
    </row>
    <row r="4" spans="1:10" x14ac:dyDescent="0.2">
      <c r="A4" s="13"/>
      <c r="B4" s="14"/>
      <c r="C4" s="13"/>
      <c r="D4" s="13"/>
      <c r="E4" s="13"/>
      <c r="F4" s="13"/>
      <c r="G4" s="13"/>
      <c r="H4" s="13"/>
      <c r="I4" s="15"/>
      <c r="J4" s="15"/>
    </row>
    <row r="5" spans="1:10" x14ac:dyDescent="0.2">
      <c r="A5" s="13"/>
      <c r="B5" s="14"/>
      <c r="C5" s="13"/>
      <c r="D5" s="13"/>
      <c r="E5" s="13"/>
      <c r="F5" s="13"/>
      <c r="G5" s="13"/>
      <c r="H5" s="13"/>
      <c r="I5" s="15"/>
      <c r="J5" s="15"/>
    </row>
    <row r="6" spans="1:10" x14ac:dyDescent="0.2">
      <c r="A6" s="13"/>
      <c r="B6" s="14"/>
      <c r="C6" s="13"/>
      <c r="D6" s="13"/>
      <c r="E6" s="13"/>
      <c r="F6" s="13"/>
      <c r="G6" s="13"/>
      <c r="H6" s="13"/>
      <c r="I6" s="15"/>
      <c r="J6" s="15"/>
    </row>
    <row r="7" spans="1:10" x14ac:dyDescent="0.2">
      <c r="A7" s="13"/>
      <c r="B7" s="14"/>
      <c r="C7" s="13"/>
      <c r="D7" s="13"/>
      <c r="E7" s="13"/>
      <c r="F7" s="13"/>
      <c r="G7" s="13"/>
      <c r="H7" s="13"/>
      <c r="I7" s="15"/>
      <c r="J7" s="15"/>
    </row>
    <row r="8" spans="1:10" x14ac:dyDescent="0.2">
      <c r="A8" s="13"/>
      <c r="B8" s="14"/>
      <c r="C8" s="13"/>
      <c r="D8" s="13"/>
      <c r="E8" s="13"/>
      <c r="F8" s="13"/>
      <c r="G8" s="13"/>
      <c r="H8" s="13"/>
      <c r="I8" s="15"/>
      <c r="J8" s="15"/>
    </row>
    <row r="9" spans="1:10" x14ac:dyDescent="0.2">
      <c r="A9" s="13"/>
      <c r="B9" s="14"/>
      <c r="C9" s="13"/>
      <c r="D9" s="13"/>
      <c r="E9" s="13"/>
      <c r="F9" s="13"/>
      <c r="G9" s="13"/>
      <c r="H9" s="13"/>
      <c r="I9" s="15"/>
      <c r="J9" s="15"/>
    </row>
    <row r="10" spans="1:10" x14ac:dyDescent="0.2">
      <c r="A10" s="13"/>
      <c r="B10" s="14"/>
      <c r="C10" s="13"/>
      <c r="D10" s="13"/>
      <c r="E10" s="13"/>
      <c r="F10" s="13"/>
      <c r="G10" s="13"/>
      <c r="H10" s="13"/>
      <c r="I10" s="15"/>
      <c r="J10" s="15"/>
    </row>
    <row r="11" spans="1:10" x14ac:dyDescent="0.2">
      <c r="A11" s="13"/>
      <c r="B11" s="14"/>
      <c r="C11" s="13"/>
      <c r="D11" s="13"/>
      <c r="E11" s="13"/>
      <c r="F11" s="13"/>
      <c r="G11" s="13"/>
      <c r="H11" s="13"/>
      <c r="I11" s="15"/>
      <c r="J11" s="15"/>
    </row>
    <row r="12" spans="1:10" x14ac:dyDescent="0.2">
      <c r="A12" s="13"/>
      <c r="B12" s="14"/>
      <c r="C12" s="13"/>
      <c r="D12" s="13"/>
      <c r="E12" s="13"/>
      <c r="F12" s="13"/>
      <c r="G12" s="13"/>
      <c r="H12" s="13"/>
      <c r="I12" s="15"/>
      <c r="J12" s="15"/>
    </row>
    <row r="13" spans="1:10" x14ac:dyDescent="0.2">
      <c r="A13" s="13"/>
      <c r="B13" s="14"/>
      <c r="C13" s="13"/>
      <c r="D13" s="13"/>
      <c r="E13" s="13"/>
      <c r="F13" s="13"/>
      <c r="G13" s="13"/>
      <c r="H13" s="13"/>
      <c r="I13" s="15"/>
      <c r="J13" s="15"/>
    </row>
    <row r="14" spans="1:10" x14ac:dyDescent="0.2">
      <c r="A14" s="13"/>
      <c r="B14" s="14"/>
      <c r="C14" s="13"/>
      <c r="D14" s="13"/>
      <c r="E14" s="13"/>
      <c r="F14" s="13"/>
      <c r="G14" s="13"/>
      <c r="H14" s="13"/>
      <c r="I14" s="15"/>
      <c r="J14" s="15"/>
    </row>
    <row r="15" spans="1:10" x14ac:dyDescent="0.2">
      <c r="A15" s="13"/>
      <c r="B15" s="14"/>
      <c r="C15" s="13"/>
      <c r="D15" s="13"/>
      <c r="E15" s="13"/>
      <c r="F15" s="13"/>
      <c r="G15" s="13"/>
      <c r="H15" s="13"/>
      <c r="I15" s="15"/>
      <c r="J15" s="15"/>
    </row>
    <row r="16" spans="1:10" hidden="1" x14ac:dyDescent="0.2">
      <c r="A16" s="13" t="s">
        <v>112</v>
      </c>
      <c r="B16" s="14" t="s">
        <v>111</v>
      </c>
      <c r="C16" s="13" t="s">
        <v>28</v>
      </c>
      <c r="D16" s="13" t="s">
        <v>27</v>
      </c>
      <c r="E16" s="13" t="s">
        <v>205</v>
      </c>
      <c r="F16" s="13" t="s">
        <v>191</v>
      </c>
      <c r="G16" s="13" t="s">
        <v>199</v>
      </c>
      <c r="H16" s="13" t="s">
        <v>204</v>
      </c>
      <c r="I16" s="15">
        <v>42533</v>
      </c>
      <c r="J16" s="15">
        <v>42533</v>
      </c>
    </row>
    <row r="17" spans="1:10" hidden="1" x14ac:dyDescent="0.2">
      <c r="A17" s="13" t="s">
        <v>110</v>
      </c>
      <c r="B17" s="14" t="s">
        <v>123</v>
      </c>
      <c r="C17" s="13" t="s">
        <v>58</v>
      </c>
      <c r="D17" s="13" t="s">
        <v>31</v>
      </c>
      <c r="E17" s="13" t="s">
        <v>25</v>
      </c>
      <c r="F17" s="13" t="s">
        <v>191</v>
      </c>
      <c r="G17" s="13" t="s">
        <v>199</v>
      </c>
      <c r="H17" s="13" t="s">
        <v>204</v>
      </c>
      <c r="I17" s="15">
        <v>42533</v>
      </c>
      <c r="J17" s="15">
        <v>42533</v>
      </c>
    </row>
    <row r="18" spans="1:10" hidden="1" x14ac:dyDescent="0.2">
      <c r="A18" s="13" t="s">
        <v>112</v>
      </c>
      <c r="B18" s="14" t="s">
        <v>115</v>
      </c>
      <c r="C18" s="13" t="s">
        <v>41</v>
      </c>
      <c r="D18" s="13" t="s">
        <v>40</v>
      </c>
      <c r="E18" s="13" t="s">
        <v>25</v>
      </c>
      <c r="F18" s="13" t="s">
        <v>191</v>
      </c>
      <c r="G18" s="13" t="s">
        <v>199</v>
      </c>
      <c r="H18" s="13" t="s">
        <v>236</v>
      </c>
      <c r="I18" s="15">
        <v>41959</v>
      </c>
      <c r="J18" s="15">
        <v>41959</v>
      </c>
    </row>
    <row r="19" spans="1:10" hidden="1" x14ac:dyDescent="0.2">
      <c r="A19" s="13" t="s">
        <v>109</v>
      </c>
      <c r="B19" s="14" t="s">
        <v>128</v>
      </c>
      <c r="C19" s="13" t="s">
        <v>41</v>
      </c>
      <c r="D19" s="13" t="s">
        <v>17</v>
      </c>
      <c r="E19" s="13" t="s">
        <v>25</v>
      </c>
      <c r="F19" s="13" t="s">
        <v>191</v>
      </c>
      <c r="G19" s="13" t="s">
        <v>199</v>
      </c>
      <c r="H19" s="13" t="s">
        <v>221</v>
      </c>
      <c r="I19" s="15">
        <v>41567</v>
      </c>
      <c r="J19" s="15">
        <v>41567</v>
      </c>
    </row>
    <row r="20" spans="1:10" hidden="1" x14ac:dyDescent="0.2">
      <c r="A20" s="13" t="s">
        <v>109</v>
      </c>
      <c r="B20" s="14" t="s">
        <v>128</v>
      </c>
      <c r="C20" s="13" t="s">
        <v>41</v>
      </c>
      <c r="D20" s="13" t="s">
        <v>17</v>
      </c>
      <c r="E20" s="13" t="s">
        <v>25</v>
      </c>
      <c r="F20" s="13" t="s">
        <v>191</v>
      </c>
      <c r="G20" s="13" t="s">
        <v>199</v>
      </c>
      <c r="H20" s="13" t="s">
        <v>200</v>
      </c>
      <c r="I20" s="15">
        <v>41392</v>
      </c>
      <c r="J20" s="15">
        <v>41392</v>
      </c>
    </row>
    <row r="21" spans="1:10" x14ac:dyDescent="0.2">
      <c r="A21" s="13"/>
      <c r="B21" s="14"/>
      <c r="C21" s="13"/>
      <c r="D21" s="13"/>
      <c r="E21" s="13"/>
      <c r="F21" s="13"/>
      <c r="G21" s="13"/>
      <c r="H21" s="13"/>
      <c r="I21" s="15"/>
      <c r="J21" s="15"/>
    </row>
    <row r="22" spans="1:10" x14ac:dyDescent="0.2">
      <c r="A22" s="13"/>
      <c r="B22" s="14"/>
      <c r="C22" s="13"/>
      <c r="D22" s="13"/>
      <c r="E22" s="13"/>
      <c r="F22" s="13"/>
      <c r="G22" s="13"/>
      <c r="H22" s="13"/>
      <c r="I22" s="15"/>
      <c r="J22" s="15"/>
    </row>
    <row r="23" spans="1:10" x14ac:dyDescent="0.2">
      <c r="A23" s="13"/>
      <c r="B23" s="14"/>
      <c r="C23" s="13"/>
      <c r="D23" s="13"/>
      <c r="E23" s="13"/>
      <c r="F23" s="13"/>
      <c r="G23" s="13"/>
      <c r="H23" s="13"/>
      <c r="I23" s="15"/>
      <c r="J23" s="15"/>
    </row>
    <row r="24" spans="1:10" x14ac:dyDescent="0.2">
      <c r="A24" s="13"/>
      <c r="B24" s="14"/>
      <c r="C24" s="13"/>
      <c r="D24" s="13"/>
      <c r="E24" s="13"/>
      <c r="F24" s="13"/>
      <c r="G24" s="13"/>
      <c r="H24" s="13"/>
      <c r="I24" s="15"/>
      <c r="J24" s="15"/>
    </row>
    <row r="25" spans="1:10" x14ac:dyDescent="0.2">
      <c r="A25" s="13"/>
      <c r="B25" s="14"/>
      <c r="C25" s="13"/>
      <c r="D25" s="13"/>
      <c r="E25" s="13"/>
      <c r="F25" s="13"/>
      <c r="G25" s="13"/>
      <c r="H25" s="13"/>
      <c r="I25" s="15"/>
      <c r="J25" s="15"/>
    </row>
    <row r="26" spans="1:10" x14ac:dyDescent="0.2">
      <c r="A26" s="13"/>
      <c r="B26" s="14"/>
      <c r="C26" s="13"/>
      <c r="D26" s="13"/>
      <c r="E26" s="13"/>
      <c r="F26" s="13"/>
      <c r="G26" s="13"/>
      <c r="H26" s="13"/>
      <c r="I26" s="15"/>
      <c r="J26" s="15"/>
    </row>
    <row r="27" spans="1:10" x14ac:dyDescent="0.2">
      <c r="A27" s="13"/>
      <c r="B27" s="14"/>
      <c r="C27" s="13"/>
      <c r="D27" s="13"/>
      <c r="E27" s="13"/>
      <c r="F27" s="13"/>
      <c r="G27" s="13"/>
      <c r="H27" s="13"/>
      <c r="I27" s="15"/>
      <c r="J27" s="15"/>
    </row>
    <row r="28" spans="1:10" x14ac:dyDescent="0.2">
      <c r="A28" s="13"/>
      <c r="B28" s="14"/>
      <c r="C28" s="13"/>
      <c r="D28" s="13"/>
      <c r="E28" s="13"/>
      <c r="F28" s="13"/>
      <c r="G28" s="13"/>
      <c r="H28" s="13"/>
      <c r="I28" s="15"/>
      <c r="J28" s="15"/>
    </row>
    <row r="29" spans="1:10" x14ac:dyDescent="0.2">
      <c r="A29" s="13"/>
      <c r="B29" s="14"/>
      <c r="C29" s="13"/>
      <c r="D29" s="13"/>
      <c r="E29" s="13"/>
      <c r="F29" s="13"/>
      <c r="G29" s="13"/>
      <c r="H29" s="13"/>
      <c r="I29" s="15"/>
      <c r="J29" s="15"/>
    </row>
    <row r="30" spans="1:10" x14ac:dyDescent="0.2">
      <c r="A30" s="13"/>
      <c r="B30" s="14"/>
      <c r="C30" s="13"/>
      <c r="D30" s="13"/>
      <c r="E30" s="13"/>
      <c r="F30" s="13"/>
      <c r="G30" s="13"/>
      <c r="H30" s="13"/>
      <c r="I30" s="15"/>
      <c r="J30" s="15"/>
    </row>
    <row r="31" spans="1:10" x14ac:dyDescent="0.2">
      <c r="A31" s="13"/>
      <c r="B31" s="14"/>
      <c r="C31" s="13"/>
      <c r="D31" s="13"/>
      <c r="E31" s="13"/>
      <c r="F31" s="13"/>
      <c r="G31" s="13"/>
      <c r="H31" s="13"/>
      <c r="I31" s="15"/>
      <c r="J31" s="15"/>
    </row>
    <row r="32" spans="1:10" x14ac:dyDescent="0.2">
      <c r="A32" s="13"/>
      <c r="B32" s="14"/>
      <c r="C32" s="13"/>
      <c r="D32" s="13"/>
      <c r="E32" s="13"/>
      <c r="F32" s="13"/>
      <c r="G32" s="13"/>
      <c r="H32" s="13"/>
      <c r="I32" s="15"/>
      <c r="J32" s="15"/>
    </row>
    <row r="33" spans="1:10" x14ac:dyDescent="0.2">
      <c r="A33" s="13"/>
      <c r="B33" s="14"/>
      <c r="C33" s="13"/>
      <c r="D33" s="13"/>
      <c r="E33" s="13"/>
      <c r="F33" s="13"/>
      <c r="G33" s="13"/>
      <c r="H33" s="13"/>
      <c r="I33" s="15"/>
      <c r="J33" s="15"/>
    </row>
    <row r="34" spans="1:10" x14ac:dyDescent="0.2">
      <c r="A34" s="13"/>
      <c r="B34" s="14"/>
      <c r="C34" s="13"/>
      <c r="D34" s="13"/>
      <c r="E34" s="13"/>
      <c r="F34" s="13"/>
      <c r="G34" s="13"/>
      <c r="H34" s="13"/>
      <c r="I34" s="15"/>
      <c r="J34" s="15"/>
    </row>
    <row r="35" spans="1:10" x14ac:dyDescent="0.2">
      <c r="A35" s="13"/>
      <c r="B35" s="14"/>
      <c r="C35" s="13"/>
      <c r="D35" s="13"/>
      <c r="E35" s="13"/>
      <c r="F35" s="13"/>
      <c r="G35" s="13"/>
      <c r="H35" s="13"/>
      <c r="I35" s="15"/>
      <c r="J35" s="15"/>
    </row>
    <row r="36" spans="1:10" x14ac:dyDescent="0.2">
      <c r="A36" s="13"/>
      <c r="B36" s="14"/>
      <c r="C36" s="13"/>
      <c r="D36" s="13"/>
      <c r="E36" s="13"/>
      <c r="F36" s="13"/>
      <c r="G36" s="13"/>
      <c r="H36" s="13"/>
      <c r="I36" s="15"/>
      <c r="J36" s="15"/>
    </row>
    <row r="37" spans="1:10" x14ac:dyDescent="0.2">
      <c r="A37" s="13"/>
      <c r="B37" s="14"/>
      <c r="C37" s="13"/>
      <c r="D37" s="13"/>
      <c r="E37" s="13"/>
      <c r="F37" s="13"/>
      <c r="G37" s="13"/>
      <c r="H37" s="13"/>
      <c r="I37" s="15"/>
      <c r="J37" s="15"/>
    </row>
    <row r="38" spans="1:10" x14ac:dyDescent="0.2">
      <c r="A38" s="13"/>
      <c r="B38" s="14"/>
      <c r="C38" s="13"/>
      <c r="D38" s="13"/>
      <c r="E38" s="13"/>
      <c r="F38" s="13"/>
      <c r="G38" s="13"/>
      <c r="H38" s="13"/>
      <c r="I38" s="15"/>
      <c r="J38" s="15"/>
    </row>
    <row r="39" spans="1:10" x14ac:dyDescent="0.2">
      <c r="A39" s="13"/>
      <c r="B39" s="14"/>
      <c r="C39" s="13"/>
      <c r="D39" s="13"/>
      <c r="E39" s="13"/>
      <c r="F39" s="13"/>
      <c r="G39" s="13"/>
      <c r="H39" s="13"/>
      <c r="I39" s="15"/>
      <c r="J39" s="15"/>
    </row>
    <row r="40" spans="1:10" x14ac:dyDescent="0.2">
      <c r="A40" s="13"/>
      <c r="B40" s="14"/>
      <c r="C40" s="13"/>
      <c r="D40" s="13"/>
      <c r="E40" s="13"/>
      <c r="F40" s="13"/>
      <c r="G40" s="13"/>
      <c r="H40" s="13"/>
      <c r="I40" s="15"/>
      <c r="J40" s="15"/>
    </row>
    <row r="41" spans="1:10" x14ac:dyDescent="0.2">
      <c r="A41" s="13"/>
      <c r="B41" s="14"/>
      <c r="C41" s="13"/>
      <c r="D41" s="13"/>
      <c r="E41" s="13"/>
      <c r="F41" s="13"/>
      <c r="G41" s="13"/>
      <c r="H41" s="13"/>
      <c r="I41" s="15"/>
      <c r="J41" s="15"/>
    </row>
    <row r="42" spans="1:10" x14ac:dyDescent="0.2">
      <c r="A42" s="13"/>
      <c r="B42" s="14"/>
      <c r="C42" s="13"/>
      <c r="D42" s="13"/>
      <c r="E42" s="13"/>
      <c r="F42" s="13"/>
      <c r="G42" s="13"/>
      <c r="H42" s="13"/>
      <c r="I42" s="15"/>
      <c r="J42" s="15"/>
    </row>
    <row r="43" spans="1:10" x14ac:dyDescent="0.2">
      <c r="A43" s="13"/>
      <c r="B43" s="14"/>
      <c r="C43" s="13"/>
      <c r="D43" s="13"/>
      <c r="E43" s="13"/>
      <c r="F43" s="13"/>
      <c r="G43" s="13"/>
      <c r="H43" s="13"/>
      <c r="I43" s="15"/>
      <c r="J43" s="15"/>
    </row>
    <row r="44" spans="1:10" x14ac:dyDescent="0.2">
      <c r="A44" s="13"/>
      <c r="B44" s="14"/>
      <c r="C44" s="13"/>
      <c r="D44" s="13"/>
      <c r="E44" s="13"/>
      <c r="F44" s="13"/>
      <c r="G44" s="13"/>
      <c r="H44" s="13"/>
      <c r="I44" s="15"/>
      <c r="J44" s="15"/>
    </row>
    <row r="45" spans="1:10" x14ac:dyDescent="0.2">
      <c r="A45" s="13"/>
      <c r="B45" s="14"/>
      <c r="C45" s="13"/>
      <c r="D45" s="13"/>
      <c r="E45" s="13"/>
      <c r="F45" s="13"/>
      <c r="G45" s="13"/>
      <c r="H45" s="13"/>
      <c r="I45" s="15"/>
      <c r="J45" s="15"/>
    </row>
    <row r="46" spans="1:10" x14ac:dyDescent="0.2">
      <c r="A46" s="13"/>
      <c r="B46" s="14"/>
      <c r="C46" s="13"/>
      <c r="D46" s="13"/>
      <c r="E46" s="13"/>
      <c r="F46" s="13"/>
      <c r="G46" s="13"/>
      <c r="H46" s="13"/>
      <c r="I46" s="15"/>
      <c r="J46" s="15"/>
    </row>
    <row r="47" spans="1:10" x14ac:dyDescent="0.2">
      <c r="A47" s="13"/>
      <c r="B47" s="14"/>
      <c r="C47" s="13"/>
      <c r="D47" s="13"/>
      <c r="E47" s="13"/>
      <c r="F47" s="13"/>
      <c r="G47" s="13"/>
      <c r="H47" s="13"/>
      <c r="I47" s="15"/>
      <c r="J47" s="15"/>
    </row>
    <row r="48" spans="1:10" x14ac:dyDescent="0.2">
      <c r="A48" s="13"/>
      <c r="B48" s="14"/>
      <c r="C48" s="13"/>
      <c r="D48" s="13"/>
      <c r="E48" s="13"/>
      <c r="F48" s="13"/>
      <c r="G48" s="13"/>
      <c r="H48" s="13"/>
      <c r="I48" s="15"/>
      <c r="J48" s="15"/>
    </row>
    <row r="49" spans="1:10" x14ac:dyDescent="0.2">
      <c r="A49" s="13"/>
      <c r="B49" s="14"/>
      <c r="C49" s="13"/>
      <c r="D49" s="13"/>
      <c r="E49" s="13"/>
      <c r="F49" s="13"/>
      <c r="G49" s="13"/>
      <c r="H49" s="13"/>
      <c r="I49" s="15"/>
      <c r="J49" s="15"/>
    </row>
    <row r="50" spans="1:10" x14ac:dyDescent="0.2">
      <c r="A50" s="13"/>
      <c r="B50" s="14"/>
      <c r="C50" s="13"/>
      <c r="D50" s="13"/>
      <c r="E50" s="13"/>
      <c r="F50" s="13"/>
      <c r="G50" s="13"/>
      <c r="H50" s="13"/>
      <c r="I50" s="15"/>
      <c r="J50" s="15"/>
    </row>
    <row r="51" spans="1:10" x14ac:dyDescent="0.2">
      <c r="A51" s="13"/>
      <c r="B51" s="14"/>
      <c r="C51" s="13"/>
      <c r="D51" s="13"/>
      <c r="E51" s="13"/>
      <c r="F51" s="13"/>
      <c r="G51" s="13"/>
      <c r="H51" s="13"/>
      <c r="I51" s="15"/>
      <c r="J51" s="15"/>
    </row>
    <row r="52" spans="1:10" x14ac:dyDescent="0.2">
      <c r="A52" s="13"/>
      <c r="B52" s="14"/>
      <c r="C52" s="13"/>
      <c r="D52" s="13"/>
      <c r="E52" s="13"/>
      <c r="F52" s="13"/>
      <c r="G52" s="13"/>
      <c r="H52" s="13"/>
      <c r="I52" s="15"/>
      <c r="J52" s="15"/>
    </row>
    <row r="53" spans="1:10" x14ac:dyDescent="0.2">
      <c r="A53" s="13"/>
      <c r="B53" s="14"/>
      <c r="C53" s="13"/>
      <c r="D53" s="13"/>
      <c r="E53" s="13"/>
      <c r="F53" s="13"/>
      <c r="G53" s="13"/>
      <c r="H53" s="13"/>
      <c r="I53" s="15"/>
      <c r="J53" s="15"/>
    </row>
    <row r="54" spans="1:10" hidden="1" x14ac:dyDescent="0.2">
      <c r="A54" s="13" t="s">
        <v>112</v>
      </c>
      <c r="B54" s="14" t="s">
        <v>111</v>
      </c>
      <c r="C54" s="13" t="s">
        <v>28</v>
      </c>
      <c r="D54" s="13" t="s">
        <v>27</v>
      </c>
      <c r="E54" s="13" t="s">
        <v>205</v>
      </c>
      <c r="F54" s="13" t="s">
        <v>187</v>
      </c>
      <c r="G54" s="13" t="s">
        <v>1</v>
      </c>
      <c r="H54" s="13" t="s">
        <v>230</v>
      </c>
      <c r="I54" s="15">
        <v>43148</v>
      </c>
      <c r="J54" s="15">
        <v>43155</v>
      </c>
    </row>
    <row r="55" spans="1:10" hidden="1" x14ac:dyDescent="0.2">
      <c r="A55" s="13" t="s">
        <v>110</v>
      </c>
      <c r="B55" s="14" t="s">
        <v>123</v>
      </c>
      <c r="C55" s="13" t="s">
        <v>58</v>
      </c>
      <c r="D55" s="13" t="s">
        <v>31</v>
      </c>
      <c r="E55" s="13" t="s">
        <v>205</v>
      </c>
      <c r="F55" s="13" t="s">
        <v>187</v>
      </c>
      <c r="G55" s="13" t="s">
        <v>1</v>
      </c>
      <c r="H55" s="13" t="s">
        <v>230</v>
      </c>
      <c r="I55" s="15">
        <v>43148</v>
      </c>
      <c r="J55" s="15">
        <v>43155</v>
      </c>
    </row>
    <row r="56" spans="1:10" hidden="1" x14ac:dyDescent="0.2">
      <c r="A56" s="13" t="s">
        <v>110</v>
      </c>
      <c r="B56" s="14" t="s">
        <v>124</v>
      </c>
      <c r="C56" s="13" t="s">
        <v>21</v>
      </c>
      <c r="D56" s="13" t="s">
        <v>20</v>
      </c>
      <c r="E56" s="13" t="s">
        <v>205</v>
      </c>
      <c r="F56" s="13" t="s">
        <v>187</v>
      </c>
      <c r="G56" s="13" t="s">
        <v>1</v>
      </c>
      <c r="H56" s="13" t="s">
        <v>212</v>
      </c>
      <c r="I56" s="15">
        <v>42777</v>
      </c>
      <c r="J56" s="15">
        <v>42784</v>
      </c>
    </row>
    <row r="57" spans="1:10" hidden="1" x14ac:dyDescent="0.2">
      <c r="A57" s="13" t="s">
        <v>110</v>
      </c>
      <c r="B57" s="14" t="s">
        <v>123</v>
      </c>
      <c r="C57" s="13" t="s">
        <v>58</v>
      </c>
      <c r="D57" s="13" t="s">
        <v>31</v>
      </c>
      <c r="E57" s="13" t="s">
        <v>205</v>
      </c>
      <c r="F57" s="13" t="s">
        <v>187</v>
      </c>
      <c r="G57" s="13" t="s">
        <v>1</v>
      </c>
      <c r="H57" s="13" t="s">
        <v>270</v>
      </c>
      <c r="I57" s="15">
        <v>42665</v>
      </c>
      <c r="J57" s="15">
        <v>42672</v>
      </c>
    </row>
    <row r="58" spans="1:10" hidden="1" x14ac:dyDescent="0.2">
      <c r="A58" s="13" t="s">
        <v>112</v>
      </c>
      <c r="B58" s="14" t="s">
        <v>111</v>
      </c>
      <c r="C58" s="13" t="s">
        <v>28</v>
      </c>
      <c r="D58" s="13" t="s">
        <v>27</v>
      </c>
      <c r="E58" s="13" t="s">
        <v>205</v>
      </c>
      <c r="F58" s="13" t="s">
        <v>187</v>
      </c>
      <c r="G58" s="13" t="s">
        <v>1</v>
      </c>
      <c r="H58" s="13" t="s">
        <v>227</v>
      </c>
      <c r="I58" s="15">
        <v>42427</v>
      </c>
      <c r="J58" s="15">
        <v>42434</v>
      </c>
    </row>
    <row r="59" spans="1:10" hidden="1" x14ac:dyDescent="0.2">
      <c r="A59" s="13" t="s">
        <v>110</v>
      </c>
      <c r="B59" s="14" t="s">
        <v>123</v>
      </c>
      <c r="C59" s="13" t="s">
        <v>58</v>
      </c>
      <c r="D59" s="13" t="s">
        <v>31</v>
      </c>
      <c r="E59" s="13" t="s">
        <v>205</v>
      </c>
      <c r="F59" s="13" t="s">
        <v>187</v>
      </c>
      <c r="G59" s="13" t="s">
        <v>1</v>
      </c>
      <c r="H59" s="13" t="s">
        <v>227</v>
      </c>
      <c r="I59" s="15">
        <v>42427</v>
      </c>
      <c r="J59" s="15">
        <v>42434</v>
      </c>
    </row>
    <row r="60" spans="1:10" hidden="1" x14ac:dyDescent="0.2">
      <c r="A60" s="13" t="s">
        <v>110</v>
      </c>
      <c r="B60" s="14" t="s">
        <v>120</v>
      </c>
      <c r="C60" s="13" t="s">
        <v>54</v>
      </c>
      <c r="D60" s="13" t="s">
        <v>53</v>
      </c>
      <c r="E60" s="13" t="s">
        <v>205</v>
      </c>
      <c r="F60" s="13" t="s">
        <v>187</v>
      </c>
      <c r="G60" s="13" t="s">
        <v>1</v>
      </c>
      <c r="H60" s="13" t="s">
        <v>263</v>
      </c>
      <c r="I60" s="15">
        <v>42301</v>
      </c>
      <c r="J60" s="15">
        <v>42308</v>
      </c>
    </row>
    <row r="61" spans="1:10" hidden="1" x14ac:dyDescent="0.2">
      <c r="A61" s="13" t="s">
        <v>112</v>
      </c>
      <c r="B61" s="14" t="s">
        <v>180</v>
      </c>
      <c r="C61" s="13" t="s">
        <v>179</v>
      </c>
      <c r="D61" s="13" t="s">
        <v>34</v>
      </c>
      <c r="E61" s="13" t="s">
        <v>205</v>
      </c>
      <c r="F61" s="13" t="s">
        <v>187</v>
      </c>
      <c r="G61" s="13" t="s">
        <v>1</v>
      </c>
      <c r="H61" s="13" t="s">
        <v>266</v>
      </c>
      <c r="I61" s="15">
        <v>42182</v>
      </c>
      <c r="J61" s="15">
        <v>42189</v>
      </c>
    </row>
    <row r="62" spans="1:10" hidden="1" x14ac:dyDescent="0.2">
      <c r="A62" s="13" t="s">
        <v>112</v>
      </c>
      <c r="B62" s="14" t="s">
        <v>118</v>
      </c>
      <c r="C62" s="13" t="s">
        <v>50</v>
      </c>
      <c r="D62" s="13" t="s">
        <v>42</v>
      </c>
      <c r="E62" s="13" t="s">
        <v>25</v>
      </c>
      <c r="F62" s="13" t="s">
        <v>187</v>
      </c>
      <c r="G62" s="13" t="s">
        <v>1</v>
      </c>
      <c r="H62" s="13" t="s">
        <v>232</v>
      </c>
      <c r="I62" s="15">
        <v>41930</v>
      </c>
      <c r="J62" s="15">
        <v>41936</v>
      </c>
    </row>
    <row r="63" spans="1:10" hidden="1" x14ac:dyDescent="0.2">
      <c r="A63" s="13" t="s">
        <v>112</v>
      </c>
      <c r="B63" s="14" t="s">
        <v>118</v>
      </c>
      <c r="C63" s="13" t="s">
        <v>50</v>
      </c>
      <c r="D63" s="13" t="s">
        <v>42</v>
      </c>
      <c r="E63" s="13" t="s">
        <v>25</v>
      </c>
      <c r="F63" s="13" t="s">
        <v>187</v>
      </c>
      <c r="G63" s="13" t="s">
        <v>1</v>
      </c>
      <c r="H63" s="13" t="s">
        <v>252</v>
      </c>
      <c r="I63" s="15">
        <v>41662</v>
      </c>
      <c r="J63" s="15">
        <v>41662</v>
      </c>
    </row>
    <row r="64" spans="1:10" x14ac:dyDescent="0.2">
      <c r="A64" s="13"/>
      <c r="B64" s="14"/>
      <c r="C64" s="13"/>
      <c r="D64" s="13"/>
      <c r="E64" s="13"/>
      <c r="F64" s="13"/>
      <c r="G64" s="13"/>
      <c r="H64" s="13"/>
      <c r="I64" s="15"/>
      <c r="J64" s="15"/>
    </row>
    <row r="65" spans="1:10" x14ac:dyDescent="0.2">
      <c r="A65" s="13"/>
      <c r="B65" s="14"/>
      <c r="C65" s="13"/>
      <c r="D65" s="13"/>
      <c r="E65" s="13"/>
      <c r="F65" s="13"/>
      <c r="G65" s="13"/>
      <c r="H65" s="13"/>
      <c r="I65" s="15"/>
      <c r="J65" s="15"/>
    </row>
    <row r="66" spans="1:10" x14ac:dyDescent="0.2">
      <c r="A66" s="13"/>
      <c r="B66" s="14"/>
      <c r="C66" s="13"/>
      <c r="D66" s="13"/>
      <c r="E66" s="13"/>
      <c r="F66" s="13"/>
      <c r="G66" s="13"/>
      <c r="H66" s="13"/>
      <c r="I66" s="15"/>
      <c r="J66" s="15"/>
    </row>
    <row r="67" spans="1:10" x14ac:dyDescent="0.2">
      <c r="A67" s="13"/>
      <c r="B67" s="14"/>
      <c r="C67" s="13"/>
      <c r="D67" s="13"/>
      <c r="E67" s="13"/>
      <c r="F67" s="13"/>
      <c r="G67" s="13"/>
      <c r="H67" s="13"/>
      <c r="I67" s="15"/>
      <c r="J67" s="15"/>
    </row>
    <row r="68" spans="1:10" x14ac:dyDescent="0.2">
      <c r="A68" s="13"/>
      <c r="B68" s="14"/>
      <c r="C68" s="13"/>
      <c r="D68" s="13"/>
      <c r="E68" s="13"/>
      <c r="F68" s="13"/>
      <c r="G68" s="13"/>
      <c r="H68" s="13"/>
      <c r="I68" s="15"/>
      <c r="J68" s="15"/>
    </row>
    <row r="69" spans="1:10" x14ac:dyDescent="0.2">
      <c r="A69" s="13"/>
      <c r="B69" s="14"/>
      <c r="C69" s="13"/>
      <c r="D69" s="13"/>
      <c r="E69" s="13"/>
      <c r="F69" s="13"/>
      <c r="G69" s="13"/>
      <c r="H69" s="13"/>
      <c r="I69" s="15"/>
      <c r="J69" s="15"/>
    </row>
    <row r="70" spans="1:10" x14ac:dyDescent="0.2">
      <c r="A70" s="13"/>
      <c r="B70" s="14"/>
      <c r="C70" s="13"/>
      <c r="D70" s="13"/>
      <c r="E70" s="13"/>
      <c r="F70" s="13"/>
      <c r="G70" s="13"/>
      <c r="H70" s="13"/>
      <c r="I70" s="15"/>
      <c r="J70" s="15"/>
    </row>
    <row r="71" spans="1:10" x14ac:dyDescent="0.2">
      <c r="A71" s="13"/>
      <c r="B71" s="14"/>
      <c r="C71" s="13"/>
      <c r="D71" s="13"/>
      <c r="E71" s="13"/>
      <c r="F71" s="13"/>
      <c r="G71" s="13"/>
      <c r="H71" s="13"/>
      <c r="I71" s="15"/>
      <c r="J71" s="15"/>
    </row>
    <row r="72" spans="1:10" x14ac:dyDescent="0.2">
      <c r="A72" s="13"/>
      <c r="B72" s="14"/>
      <c r="C72" s="13"/>
      <c r="D72" s="13"/>
      <c r="E72" s="13"/>
      <c r="F72" s="13"/>
      <c r="G72" s="13"/>
      <c r="H72" s="13"/>
      <c r="I72" s="15"/>
      <c r="J72" s="15"/>
    </row>
    <row r="73" spans="1:10" x14ac:dyDescent="0.2">
      <c r="A73" s="13"/>
      <c r="B73" s="14"/>
      <c r="C73" s="13"/>
      <c r="D73" s="13"/>
      <c r="E73" s="13"/>
      <c r="F73" s="13"/>
      <c r="G73" s="13"/>
      <c r="H73" s="13"/>
      <c r="I73" s="15"/>
      <c r="J73" s="15"/>
    </row>
    <row r="74" spans="1:10" x14ac:dyDescent="0.2">
      <c r="A74" s="13"/>
      <c r="B74" s="14"/>
      <c r="C74" s="13"/>
      <c r="D74" s="13"/>
      <c r="E74" s="13"/>
      <c r="F74" s="13"/>
      <c r="G74" s="13"/>
      <c r="H74" s="13"/>
      <c r="I74" s="15"/>
      <c r="J74" s="15"/>
    </row>
    <row r="75" spans="1:10" x14ac:dyDescent="0.2">
      <c r="A75" s="13"/>
      <c r="B75" s="14"/>
      <c r="C75" s="13"/>
      <c r="D75" s="13"/>
      <c r="E75" s="13"/>
      <c r="F75" s="13"/>
      <c r="G75" s="13"/>
      <c r="H75" s="13"/>
      <c r="I75" s="15"/>
      <c r="J75" s="15"/>
    </row>
    <row r="76" spans="1:10" x14ac:dyDescent="0.2">
      <c r="A76" s="13"/>
      <c r="B76" s="14"/>
      <c r="C76" s="13"/>
      <c r="D76" s="13"/>
      <c r="E76" s="13"/>
      <c r="F76" s="13"/>
      <c r="G76" s="13"/>
      <c r="H76" s="13"/>
      <c r="I76" s="15"/>
      <c r="J76" s="15"/>
    </row>
    <row r="77" spans="1:10" x14ac:dyDescent="0.2">
      <c r="A77" s="13"/>
      <c r="B77" s="14"/>
      <c r="C77" s="13"/>
      <c r="D77" s="13"/>
      <c r="E77" s="13"/>
      <c r="F77" s="13"/>
      <c r="G77" s="13"/>
      <c r="H77" s="13"/>
      <c r="I77" s="15"/>
      <c r="J77" s="15"/>
    </row>
    <row r="78" spans="1:10" hidden="1" x14ac:dyDescent="0.2">
      <c r="A78" s="13" t="s">
        <v>109</v>
      </c>
      <c r="B78" s="14" t="s">
        <v>174</v>
      </c>
      <c r="C78" s="13" t="s">
        <v>175</v>
      </c>
      <c r="D78" s="13" t="s">
        <v>19</v>
      </c>
      <c r="E78" s="13" t="s">
        <v>205</v>
      </c>
      <c r="F78" s="13" t="s">
        <v>187</v>
      </c>
      <c r="G78" s="13" t="s">
        <v>135</v>
      </c>
      <c r="H78" s="13" t="s">
        <v>206</v>
      </c>
      <c r="I78" s="15">
        <v>42826</v>
      </c>
      <c r="J78" s="15">
        <v>42833</v>
      </c>
    </row>
    <row r="79" spans="1:10" hidden="1" x14ac:dyDescent="0.2">
      <c r="A79" s="13" t="s">
        <v>110</v>
      </c>
      <c r="B79" s="14" t="s">
        <v>122</v>
      </c>
      <c r="C79" s="13" t="s">
        <v>57</v>
      </c>
      <c r="D79" s="13" t="s">
        <v>42</v>
      </c>
      <c r="E79" s="13" t="s">
        <v>205</v>
      </c>
      <c r="F79" s="13" t="s">
        <v>187</v>
      </c>
      <c r="G79" s="13" t="s">
        <v>135</v>
      </c>
      <c r="H79" s="13" t="s">
        <v>206</v>
      </c>
      <c r="I79" s="15">
        <v>42826</v>
      </c>
      <c r="J79" s="15">
        <v>42833</v>
      </c>
    </row>
    <row r="80" spans="1:10" hidden="1" x14ac:dyDescent="0.2">
      <c r="A80" s="13" t="s">
        <v>110</v>
      </c>
      <c r="B80" s="14" t="s">
        <v>123</v>
      </c>
      <c r="C80" s="13" t="s">
        <v>58</v>
      </c>
      <c r="D80" s="13" t="s">
        <v>31</v>
      </c>
      <c r="E80" s="13" t="s">
        <v>205</v>
      </c>
      <c r="F80" s="13" t="s">
        <v>187</v>
      </c>
      <c r="G80" s="13" t="s">
        <v>135</v>
      </c>
      <c r="H80" s="13" t="s">
        <v>206</v>
      </c>
      <c r="I80" s="15">
        <v>42826</v>
      </c>
      <c r="J80" s="15">
        <v>42833</v>
      </c>
    </row>
    <row r="81" spans="1:10" hidden="1" x14ac:dyDescent="0.2">
      <c r="A81" s="13" t="s">
        <v>112</v>
      </c>
      <c r="B81" s="14" t="s">
        <v>115</v>
      </c>
      <c r="C81" s="13" t="s">
        <v>41</v>
      </c>
      <c r="D81" s="13" t="s">
        <v>40</v>
      </c>
      <c r="E81" s="13" t="s">
        <v>205</v>
      </c>
      <c r="F81" s="13" t="s">
        <v>187</v>
      </c>
      <c r="G81" s="13" t="s">
        <v>135</v>
      </c>
      <c r="H81" s="13" t="s">
        <v>239</v>
      </c>
      <c r="I81" s="15">
        <v>42770</v>
      </c>
      <c r="J81" s="15">
        <v>42777</v>
      </c>
    </row>
    <row r="82" spans="1:10" hidden="1" x14ac:dyDescent="0.2">
      <c r="A82" s="13" t="s">
        <v>110</v>
      </c>
      <c r="B82" s="14" t="s">
        <v>123</v>
      </c>
      <c r="C82" s="13" t="s">
        <v>58</v>
      </c>
      <c r="D82" s="13" t="s">
        <v>31</v>
      </c>
      <c r="E82" s="13" t="s">
        <v>205</v>
      </c>
      <c r="F82" s="13" t="s">
        <v>187</v>
      </c>
      <c r="G82" s="13" t="s">
        <v>135</v>
      </c>
      <c r="H82" s="13" t="s">
        <v>239</v>
      </c>
      <c r="I82" s="15">
        <v>42770</v>
      </c>
      <c r="J82" s="15">
        <v>42777</v>
      </c>
    </row>
    <row r="83" spans="1:10" hidden="1" x14ac:dyDescent="0.2">
      <c r="A83" s="13" t="s">
        <v>109</v>
      </c>
      <c r="B83" s="14" t="s">
        <v>114</v>
      </c>
      <c r="C83" s="13" t="s">
        <v>39</v>
      </c>
      <c r="D83" s="13" t="s">
        <v>38</v>
      </c>
      <c r="E83" s="13" t="s">
        <v>205</v>
      </c>
      <c r="F83" s="13" t="s">
        <v>187</v>
      </c>
      <c r="G83" s="13" t="s">
        <v>135</v>
      </c>
      <c r="H83" s="13" t="s">
        <v>235</v>
      </c>
      <c r="I83" s="15">
        <v>42476</v>
      </c>
      <c r="J83" s="15">
        <v>42483</v>
      </c>
    </row>
    <row r="84" spans="1:10" hidden="1" x14ac:dyDescent="0.2">
      <c r="A84" s="13" t="s">
        <v>110</v>
      </c>
      <c r="B84" s="14" t="s">
        <v>120</v>
      </c>
      <c r="C84" s="13" t="s">
        <v>54</v>
      </c>
      <c r="D84" s="13" t="s">
        <v>53</v>
      </c>
      <c r="E84" s="13" t="s">
        <v>205</v>
      </c>
      <c r="F84" s="13" t="s">
        <v>187</v>
      </c>
      <c r="G84" s="13" t="s">
        <v>135</v>
      </c>
      <c r="H84" s="13" t="s">
        <v>235</v>
      </c>
      <c r="I84" s="15">
        <v>42476</v>
      </c>
      <c r="J84" s="15">
        <v>42483</v>
      </c>
    </row>
    <row r="85" spans="1:10" hidden="1" x14ac:dyDescent="0.2">
      <c r="A85" s="13" t="s">
        <v>112</v>
      </c>
      <c r="B85" s="14" t="s">
        <v>111</v>
      </c>
      <c r="C85" s="13" t="s">
        <v>28</v>
      </c>
      <c r="D85" s="13" t="s">
        <v>27</v>
      </c>
      <c r="E85" s="13" t="s">
        <v>205</v>
      </c>
      <c r="F85" s="13" t="s">
        <v>191</v>
      </c>
      <c r="G85" s="13" t="s">
        <v>135</v>
      </c>
      <c r="H85" s="13" t="s">
        <v>226</v>
      </c>
      <c r="I85" s="15">
        <v>42056</v>
      </c>
      <c r="J85" s="15">
        <v>42063</v>
      </c>
    </row>
    <row r="86" spans="1:10" hidden="1" x14ac:dyDescent="0.2">
      <c r="A86" s="13" t="s">
        <v>110</v>
      </c>
      <c r="B86" s="14" t="s">
        <v>123</v>
      </c>
      <c r="C86" s="13" t="s">
        <v>58</v>
      </c>
      <c r="D86" s="13" t="s">
        <v>31</v>
      </c>
      <c r="E86" s="13" t="s">
        <v>205</v>
      </c>
      <c r="F86" s="13" t="s">
        <v>191</v>
      </c>
      <c r="G86" s="13" t="s">
        <v>135</v>
      </c>
      <c r="H86" s="13" t="s">
        <v>226</v>
      </c>
      <c r="I86" s="15">
        <v>42056</v>
      </c>
      <c r="J86" s="15">
        <v>42063</v>
      </c>
    </row>
    <row r="87" spans="1:10" hidden="1" x14ac:dyDescent="0.2">
      <c r="A87" s="13" t="s">
        <v>112</v>
      </c>
      <c r="B87" s="14" t="s">
        <v>115</v>
      </c>
      <c r="C87" s="13" t="s">
        <v>41</v>
      </c>
      <c r="D87" s="13" t="s">
        <v>40</v>
      </c>
      <c r="E87" s="13" t="s">
        <v>205</v>
      </c>
      <c r="F87" s="13" t="s">
        <v>187</v>
      </c>
      <c r="G87" s="13" t="s">
        <v>135</v>
      </c>
      <c r="H87" s="13" t="s">
        <v>222</v>
      </c>
      <c r="I87" s="15">
        <v>42049</v>
      </c>
      <c r="J87" s="15">
        <v>42056</v>
      </c>
    </row>
    <row r="88" spans="1:10" hidden="1" x14ac:dyDescent="0.2">
      <c r="A88" s="13" t="s">
        <v>112</v>
      </c>
      <c r="B88" s="14" t="s">
        <v>118</v>
      </c>
      <c r="C88" s="13" t="s">
        <v>50</v>
      </c>
      <c r="D88" s="13" t="s">
        <v>42</v>
      </c>
      <c r="E88" s="13" t="s">
        <v>25</v>
      </c>
      <c r="F88" s="13" t="s">
        <v>187</v>
      </c>
      <c r="G88" s="13" t="s">
        <v>135</v>
      </c>
      <c r="H88" s="13" t="s">
        <v>255</v>
      </c>
      <c r="I88" s="15">
        <v>41335</v>
      </c>
      <c r="J88" s="15">
        <v>41342</v>
      </c>
    </row>
    <row r="89" spans="1:10" x14ac:dyDescent="0.2">
      <c r="A89" s="13"/>
      <c r="B89" s="14"/>
      <c r="C89" s="13"/>
      <c r="D89" s="13"/>
      <c r="E89" s="13"/>
      <c r="F89" s="13"/>
      <c r="G89" s="13"/>
      <c r="H89" s="13"/>
      <c r="I89" s="15"/>
      <c r="J89" s="15"/>
    </row>
    <row r="90" spans="1:10" x14ac:dyDescent="0.2">
      <c r="A90" s="13"/>
      <c r="B90" s="14"/>
      <c r="C90" s="13"/>
      <c r="D90" s="13"/>
      <c r="E90" s="13"/>
      <c r="F90" s="13"/>
      <c r="G90" s="13"/>
      <c r="H90" s="13"/>
      <c r="I90" s="15"/>
      <c r="J90" s="15"/>
    </row>
    <row r="91" spans="1:10" x14ac:dyDescent="0.2">
      <c r="A91" s="13"/>
      <c r="B91" s="14"/>
      <c r="C91" s="13"/>
      <c r="D91" s="13"/>
      <c r="E91" s="13"/>
      <c r="F91" s="13"/>
      <c r="G91" s="13"/>
      <c r="H91" s="13"/>
      <c r="I91" s="15"/>
      <c r="J91" s="15"/>
    </row>
    <row r="92" spans="1:10" x14ac:dyDescent="0.2">
      <c r="A92" s="13"/>
      <c r="B92" s="14"/>
      <c r="C92" s="13"/>
      <c r="D92" s="13"/>
      <c r="E92" s="13"/>
      <c r="F92" s="13"/>
      <c r="G92" s="13"/>
      <c r="H92" s="13"/>
      <c r="I92" s="15"/>
      <c r="J92" s="15"/>
    </row>
    <row r="93" spans="1:10" x14ac:dyDescent="0.2">
      <c r="A93" s="13"/>
      <c r="B93" s="14"/>
      <c r="C93" s="13"/>
      <c r="D93" s="13"/>
      <c r="E93" s="13"/>
      <c r="F93" s="13"/>
      <c r="G93" s="13"/>
      <c r="H93" s="13"/>
      <c r="I93" s="15"/>
      <c r="J93" s="15"/>
    </row>
    <row r="94" spans="1:10" hidden="1" x14ac:dyDescent="0.2">
      <c r="A94" s="13" t="s">
        <v>109</v>
      </c>
      <c r="B94" s="14" t="s">
        <v>119</v>
      </c>
      <c r="C94" s="13" t="s">
        <v>50</v>
      </c>
      <c r="D94" s="13" t="s">
        <v>29</v>
      </c>
      <c r="E94" s="13" t="s">
        <v>25</v>
      </c>
      <c r="F94" s="13" t="s">
        <v>187</v>
      </c>
      <c r="G94" s="13" t="s">
        <v>257</v>
      </c>
      <c r="H94" s="13" t="s">
        <v>258</v>
      </c>
      <c r="I94" s="15">
        <v>41573</v>
      </c>
      <c r="J94" s="15">
        <v>41580</v>
      </c>
    </row>
    <row r="95" spans="1:10" x14ac:dyDescent="0.2">
      <c r="A95" s="13"/>
      <c r="B95" s="14"/>
      <c r="C95" s="13"/>
      <c r="D95" s="13"/>
      <c r="E95" s="13"/>
      <c r="F95" s="13"/>
      <c r="G95" s="13"/>
      <c r="H95" s="13"/>
      <c r="I95" s="15"/>
      <c r="J95" s="15"/>
    </row>
    <row r="96" spans="1:10" x14ac:dyDescent="0.2">
      <c r="A96" s="13"/>
      <c r="B96" s="14"/>
      <c r="C96" s="13"/>
      <c r="D96" s="13"/>
      <c r="E96" s="13"/>
      <c r="F96" s="13"/>
      <c r="G96" s="13"/>
      <c r="H96" s="13"/>
      <c r="I96" s="15"/>
      <c r="J96" s="15"/>
    </row>
    <row r="97" spans="1:10" x14ac:dyDescent="0.2">
      <c r="A97" s="13"/>
      <c r="B97" s="14"/>
      <c r="C97" s="13"/>
      <c r="D97" s="13"/>
      <c r="E97" s="13"/>
      <c r="F97" s="13"/>
      <c r="G97" s="13"/>
      <c r="H97" s="13"/>
      <c r="I97" s="15"/>
      <c r="J97" s="15"/>
    </row>
    <row r="98" spans="1:10" x14ac:dyDescent="0.2">
      <c r="A98" s="13"/>
      <c r="B98" s="14"/>
      <c r="C98" s="13"/>
      <c r="D98" s="13"/>
      <c r="E98" s="13"/>
      <c r="F98" s="13"/>
      <c r="G98" s="13"/>
      <c r="H98" s="13"/>
      <c r="I98" s="15"/>
      <c r="J98" s="15"/>
    </row>
    <row r="99" spans="1:10" x14ac:dyDescent="0.2">
      <c r="A99" s="13"/>
      <c r="B99" s="14"/>
      <c r="C99" s="13"/>
      <c r="D99" s="13"/>
      <c r="E99" s="13"/>
      <c r="F99" s="13"/>
      <c r="G99" s="13"/>
      <c r="H99" s="13"/>
      <c r="I99" s="15"/>
      <c r="J99" s="15"/>
    </row>
    <row r="100" spans="1:10" x14ac:dyDescent="0.2">
      <c r="A100" s="13"/>
      <c r="B100" s="14"/>
      <c r="C100" s="13"/>
      <c r="D100" s="13"/>
      <c r="E100" s="13"/>
      <c r="F100" s="13"/>
      <c r="G100" s="13"/>
      <c r="H100" s="13"/>
      <c r="I100" s="15"/>
      <c r="J100" s="15"/>
    </row>
    <row r="101" spans="1:10" x14ac:dyDescent="0.2">
      <c r="A101" s="13"/>
      <c r="B101" s="14"/>
      <c r="C101" s="13"/>
      <c r="D101" s="13"/>
      <c r="E101" s="13"/>
      <c r="F101" s="13"/>
      <c r="G101" s="13"/>
      <c r="H101" s="13"/>
      <c r="I101" s="15"/>
      <c r="J101" s="15"/>
    </row>
    <row r="102" spans="1:10" x14ac:dyDescent="0.2">
      <c r="A102" s="13"/>
      <c r="B102" s="14"/>
      <c r="C102" s="13"/>
      <c r="D102" s="13"/>
      <c r="E102" s="13"/>
      <c r="F102" s="13"/>
      <c r="G102" s="13"/>
      <c r="H102" s="13"/>
      <c r="I102" s="15"/>
      <c r="J102" s="15"/>
    </row>
    <row r="103" spans="1:10" x14ac:dyDescent="0.2">
      <c r="A103" s="13"/>
      <c r="B103" s="14"/>
      <c r="C103" s="13"/>
      <c r="D103" s="13"/>
      <c r="E103" s="13"/>
      <c r="F103" s="13"/>
      <c r="G103" s="13"/>
      <c r="H103" s="13"/>
      <c r="I103" s="15"/>
      <c r="J103" s="15"/>
    </row>
    <row r="104" spans="1:10" x14ac:dyDescent="0.2">
      <c r="A104" s="13"/>
      <c r="B104" s="14"/>
      <c r="C104" s="13"/>
      <c r="D104" s="13"/>
      <c r="E104" s="13"/>
      <c r="F104" s="13"/>
      <c r="G104" s="13"/>
      <c r="H104" s="13"/>
      <c r="I104" s="15"/>
      <c r="J104" s="15"/>
    </row>
    <row r="105" spans="1:10" x14ac:dyDescent="0.2">
      <c r="A105" s="13"/>
      <c r="B105" s="14"/>
      <c r="C105" s="13"/>
      <c r="D105" s="13"/>
      <c r="E105" s="13"/>
      <c r="F105" s="13"/>
      <c r="G105" s="13"/>
      <c r="H105" s="13"/>
      <c r="I105" s="15"/>
      <c r="J105" s="15"/>
    </row>
    <row r="106" spans="1:10" x14ac:dyDescent="0.2">
      <c r="A106" s="13"/>
      <c r="B106" s="14"/>
      <c r="C106" s="13"/>
      <c r="D106" s="13"/>
      <c r="E106" s="13"/>
      <c r="F106" s="13"/>
      <c r="G106" s="13"/>
      <c r="H106" s="13"/>
      <c r="I106" s="15"/>
      <c r="J106" s="15"/>
    </row>
    <row r="107" spans="1:10" x14ac:dyDescent="0.2">
      <c r="A107" s="13"/>
      <c r="B107" s="14"/>
      <c r="C107" s="13"/>
      <c r="D107" s="13"/>
      <c r="E107" s="13"/>
      <c r="F107" s="13"/>
      <c r="G107" s="13"/>
      <c r="H107" s="13"/>
      <c r="I107" s="15"/>
      <c r="J107" s="15"/>
    </row>
    <row r="108" spans="1:10" x14ac:dyDescent="0.2">
      <c r="A108" s="13"/>
      <c r="B108" s="14"/>
      <c r="C108" s="13"/>
      <c r="D108" s="13"/>
      <c r="E108" s="13"/>
      <c r="F108" s="13"/>
      <c r="G108" s="13"/>
      <c r="H108" s="13"/>
      <c r="I108" s="15"/>
      <c r="J108" s="15"/>
    </row>
    <row r="109" spans="1:10" hidden="1" x14ac:dyDescent="0.2">
      <c r="A109" s="13" t="s">
        <v>109</v>
      </c>
      <c r="B109" s="14" t="s">
        <v>119</v>
      </c>
      <c r="C109" s="13" t="s">
        <v>50</v>
      </c>
      <c r="D109" s="13" t="s">
        <v>29</v>
      </c>
      <c r="E109" s="13" t="s">
        <v>205</v>
      </c>
      <c r="F109" s="13" t="s">
        <v>187</v>
      </c>
      <c r="G109" s="13" t="s">
        <v>2</v>
      </c>
      <c r="H109" s="13" t="s">
        <v>260</v>
      </c>
      <c r="I109" s="15">
        <v>43155</v>
      </c>
      <c r="J109" s="15">
        <v>43163</v>
      </c>
    </row>
    <row r="110" spans="1:10" hidden="1" x14ac:dyDescent="0.2">
      <c r="A110" s="13" t="s">
        <v>112</v>
      </c>
      <c r="B110" s="14" t="s">
        <v>180</v>
      </c>
      <c r="C110" s="13" t="s">
        <v>179</v>
      </c>
      <c r="D110" s="13" t="s">
        <v>34</v>
      </c>
      <c r="E110" s="13" t="s">
        <v>205</v>
      </c>
      <c r="F110" s="13" t="s">
        <v>187</v>
      </c>
      <c r="G110" s="13" t="s">
        <v>2</v>
      </c>
      <c r="H110" s="13" t="s">
        <v>207</v>
      </c>
      <c r="I110" s="15">
        <v>43155</v>
      </c>
      <c r="J110" s="15">
        <v>43163</v>
      </c>
    </row>
    <row r="111" spans="1:10" hidden="1" x14ac:dyDescent="0.2">
      <c r="A111" s="13" t="s">
        <v>112</v>
      </c>
      <c r="B111" s="14" t="s">
        <v>118</v>
      </c>
      <c r="C111" s="13" t="s">
        <v>50</v>
      </c>
      <c r="D111" s="13" t="s">
        <v>42</v>
      </c>
      <c r="E111" s="13" t="s">
        <v>205</v>
      </c>
      <c r="F111" s="13" t="s">
        <v>187</v>
      </c>
      <c r="G111" s="13" t="s">
        <v>2</v>
      </c>
      <c r="H111" s="13" t="s">
        <v>256</v>
      </c>
      <c r="I111" s="15">
        <v>42833</v>
      </c>
      <c r="J111" s="15">
        <v>42841</v>
      </c>
    </row>
    <row r="112" spans="1:10" hidden="1" x14ac:dyDescent="0.2">
      <c r="A112" s="13" t="s">
        <v>109</v>
      </c>
      <c r="B112" s="14" t="s">
        <v>119</v>
      </c>
      <c r="C112" s="13" t="s">
        <v>50</v>
      </c>
      <c r="D112" s="13" t="s">
        <v>29</v>
      </c>
      <c r="E112" s="13" t="s">
        <v>205</v>
      </c>
      <c r="F112" s="13" t="s">
        <v>187</v>
      </c>
      <c r="G112" s="13" t="s">
        <v>2</v>
      </c>
      <c r="H112" s="13" t="s">
        <v>256</v>
      </c>
      <c r="I112" s="15">
        <v>42833</v>
      </c>
      <c r="J112" s="15">
        <v>42841</v>
      </c>
    </row>
    <row r="113" spans="1:10" hidden="1" x14ac:dyDescent="0.2">
      <c r="A113" s="13" t="s">
        <v>112</v>
      </c>
      <c r="B113" s="14" t="s">
        <v>118</v>
      </c>
      <c r="C113" s="13" t="s">
        <v>50</v>
      </c>
      <c r="D113" s="13" t="s">
        <v>42</v>
      </c>
      <c r="E113" s="13" t="s">
        <v>205</v>
      </c>
      <c r="F113" s="13" t="s">
        <v>187</v>
      </c>
      <c r="G113" s="13" t="s">
        <v>2</v>
      </c>
      <c r="H113" s="13" t="s">
        <v>253</v>
      </c>
      <c r="I113" s="15">
        <v>41692</v>
      </c>
      <c r="J113" s="15">
        <v>41700</v>
      </c>
    </row>
    <row r="114" spans="1:10" hidden="1" x14ac:dyDescent="0.2">
      <c r="A114" s="13" t="s">
        <v>112</v>
      </c>
      <c r="B114" s="14" t="s">
        <v>118</v>
      </c>
      <c r="C114" s="13" t="s">
        <v>50</v>
      </c>
      <c r="D114" s="13" t="s">
        <v>42</v>
      </c>
      <c r="E114" s="13" t="s">
        <v>25</v>
      </c>
      <c r="F114" s="13" t="s">
        <v>187</v>
      </c>
      <c r="G114" s="13" t="s">
        <v>2</v>
      </c>
      <c r="H114" s="13" t="s">
        <v>249</v>
      </c>
      <c r="I114" s="15">
        <v>42049</v>
      </c>
      <c r="J114" s="15">
        <v>42057</v>
      </c>
    </row>
    <row r="115" spans="1:10" hidden="1" x14ac:dyDescent="0.2">
      <c r="A115" s="13" t="s">
        <v>112</v>
      </c>
      <c r="B115" s="14" t="s">
        <v>118</v>
      </c>
      <c r="C115" s="13" t="s">
        <v>50</v>
      </c>
      <c r="D115" s="13" t="s">
        <v>42</v>
      </c>
      <c r="E115" s="13" t="s">
        <v>25</v>
      </c>
      <c r="F115" s="13" t="s">
        <v>187</v>
      </c>
      <c r="G115" s="13" t="s">
        <v>2</v>
      </c>
      <c r="H115" s="13" t="s">
        <v>237</v>
      </c>
      <c r="I115" s="15">
        <v>41748</v>
      </c>
      <c r="J115" s="15">
        <v>41756</v>
      </c>
    </row>
    <row r="116" spans="1:10" x14ac:dyDescent="0.2">
      <c r="A116" s="13"/>
      <c r="B116" s="14"/>
      <c r="C116" s="13"/>
      <c r="D116" s="13"/>
      <c r="E116" s="13"/>
      <c r="F116" s="13"/>
      <c r="G116" s="13"/>
      <c r="H116" s="13"/>
      <c r="I116" s="15"/>
      <c r="J116" s="15"/>
    </row>
    <row r="117" spans="1:10" hidden="1" x14ac:dyDescent="0.2">
      <c r="A117" s="13" t="s">
        <v>112</v>
      </c>
      <c r="B117" s="14" t="s">
        <v>118</v>
      </c>
      <c r="C117" s="13" t="s">
        <v>50</v>
      </c>
      <c r="D117" s="13" t="s">
        <v>42</v>
      </c>
      <c r="E117" s="13" t="s">
        <v>205</v>
      </c>
      <c r="F117" s="13" t="s">
        <v>189</v>
      </c>
      <c r="G117" s="13" t="s">
        <v>241</v>
      </c>
      <c r="H117" s="13" t="s">
        <v>251</v>
      </c>
      <c r="I117" s="15">
        <v>41594</v>
      </c>
      <c r="J117" s="15">
        <v>41595</v>
      </c>
    </row>
    <row r="118" spans="1:10" x14ac:dyDescent="0.2">
      <c r="A118" s="13"/>
      <c r="B118" s="14"/>
      <c r="C118" s="13"/>
      <c r="D118" s="13"/>
      <c r="E118" s="13"/>
      <c r="F118" s="13"/>
      <c r="G118" s="13"/>
      <c r="H118" s="13"/>
      <c r="I118" s="15"/>
      <c r="J118" s="15"/>
    </row>
    <row r="119" spans="1:10" x14ac:dyDescent="0.2">
      <c r="A119" s="13"/>
      <c r="B119" s="14"/>
      <c r="C119" s="13"/>
      <c r="D119" s="13"/>
      <c r="E119" s="13"/>
      <c r="F119" s="13"/>
      <c r="G119" s="13"/>
      <c r="H119" s="13"/>
      <c r="I119" s="15"/>
      <c r="J119" s="15"/>
    </row>
    <row r="120" spans="1:10" x14ac:dyDescent="0.2">
      <c r="A120" s="13"/>
      <c r="B120" s="14"/>
      <c r="C120" s="13"/>
      <c r="D120" s="13"/>
      <c r="E120" s="13"/>
      <c r="F120" s="13"/>
      <c r="G120" s="13"/>
      <c r="H120" s="13"/>
      <c r="I120" s="15"/>
      <c r="J120" s="15"/>
    </row>
    <row r="121" spans="1:10" x14ac:dyDescent="0.2">
      <c r="A121" s="13"/>
      <c r="B121" s="14"/>
      <c r="C121" s="13"/>
      <c r="D121" s="13"/>
      <c r="E121" s="13"/>
      <c r="F121" s="13"/>
      <c r="G121" s="13"/>
      <c r="H121" s="13"/>
      <c r="I121" s="15"/>
      <c r="J121" s="15"/>
    </row>
    <row r="122" spans="1:10" x14ac:dyDescent="0.2">
      <c r="A122" s="13"/>
      <c r="B122" s="14"/>
      <c r="C122" s="13"/>
      <c r="D122" s="13"/>
      <c r="E122" s="13"/>
      <c r="F122" s="13"/>
      <c r="G122" s="13"/>
      <c r="H122" s="13"/>
      <c r="I122" s="15"/>
      <c r="J122" s="15"/>
    </row>
    <row r="123" spans="1:10" x14ac:dyDescent="0.2">
      <c r="A123" s="13"/>
      <c r="B123" s="14"/>
      <c r="C123" s="13"/>
      <c r="D123" s="13"/>
      <c r="E123" s="13"/>
      <c r="F123" s="13"/>
      <c r="G123" s="13"/>
      <c r="H123" s="13"/>
      <c r="I123" s="15"/>
      <c r="J123" s="15"/>
    </row>
    <row r="124" spans="1:10" x14ac:dyDescent="0.2">
      <c r="A124" s="13"/>
      <c r="B124" s="14"/>
      <c r="C124" s="13"/>
      <c r="D124" s="13"/>
      <c r="E124" s="13"/>
      <c r="F124" s="13"/>
      <c r="G124" s="13"/>
      <c r="H124" s="13"/>
      <c r="I124" s="15"/>
      <c r="J124" s="15"/>
    </row>
    <row r="125" spans="1:10" x14ac:dyDescent="0.2">
      <c r="A125" s="13"/>
      <c r="B125" s="14"/>
      <c r="C125" s="13"/>
      <c r="D125" s="13"/>
      <c r="E125" s="13"/>
      <c r="F125" s="13"/>
      <c r="G125" s="13"/>
      <c r="H125" s="13"/>
      <c r="I125" s="15"/>
      <c r="J125" s="15"/>
    </row>
    <row r="126" spans="1:10" x14ac:dyDescent="0.2">
      <c r="A126" s="13"/>
      <c r="B126" s="14"/>
      <c r="C126" s="13"/>
      <c r="D126" s="13"/>
      <c r="E126" s="13"/>
      <c r="F126" s="13"/>
      <c r="G126" s="13"/>
      <c r="H126" s="13"/>
      <c r="I126" s="15"/>
      <c r="J126" s="15"/>
    </row>
    <row r="127" spans="1:10" x14ac:dyDescent="0.2">
      <c r="A127" s="13"/>
      <c r="B127" s="14"/>
      <c r="C127" s="13"/>
      <c r="D127" s="13"/>
      <c r="E127" s="13"/>
      <c r="F127" s="13"/>
      <c r="G127" s="13"/>
      <c r="H127" s="13"/>
      <c r="I127" s="15"/>
      <c r="J127" s="15"/>
    </row>
    <row r="128" spans="1:10" x14ac:dyDescent="0.2">
      <c r="A128" s="13"/>
      <c r="B128" s="14"/>
      <c r="C128" s="13"/>
      <c r="D128" s="13"/>
      <c r="E128" s="13"/>
      <c r="F128" s="13"/>
      <c r="G128" s="13"/>
      <c r="H128" s="13"/>
      <c r="I128" s="15"/>
      <c r="J128" s="15"/>
    </row>
    <row r="129" spans="1:10" x14ac:dyDescent="0.2">
      <c r="A129" s="13"/>
      <c r="B129" s="14"/>
      <c r="C129" s="13"/>
      <c r="D129" s="13"/>
      <c r="E129" s="13"/>
      <c r="F129" s="13"/>
      <c r="G129" s="13"/>
      <c r="H129" s="13"/>
      <c r="I129" s="15"/>
      <c r="J129" s="15"/>
    </row>
    <row r="130" spans="1:10" x14ac:dyDescent="0.2">
      <c r="A130" s="13"/>
      <c r="B130" s="14"/>
      <c r="C130" s="13"/>
      <c r="D130" s="13"/>
      <c r="E130" s="13"/>
      <c r="F130" s="13"/>
      <c r="G130" s="13"/>
      <c r="H130" s="13"/>
      <c r="I130" s="15"/>
      <c r="J130" s="15"/>
    </row>
    <row r="131" spans="1:10" x14ac:dyDescent="0.2">
      <c r="A131" s="13"/>
      <c r="B131" s="14"/>
      <c r="C131" s="13"/>
      <c r="D131" s="13"/>
      <c r="E131" s="13"/>
      <c r="F131" s="13"/>
      <c r="G131" s="13"/>
      <c r="H131" s="13"/>
      <c r="I131" s="15"/>
      <c r="J131" s="15"/>
    </row>
    <row r="132" spans="1:10" x14ac:dyDescent="0.2">
      <c r="A132" s="13"/>
      <c r="B132" s="14"/>
      <c r="C132" s="13"/>
      <c r="D132" s="13"/>
      <c r="E132" s="13"/>
      <c r="F132" s="13"/>
      <c r="G132" s="13"/>
      <c r="H132" s="13"/>
      <c r="I132" s="15"/>
      <c r="J132" s="15"/>
    </row>
    <row r="133" spans="1:10" hidden="1" x14ac:dyDescent="0.2">
      <c r="A133" s="13" t="s">
        <v>112</v>
      </c>
      <c r="B133" s="14" t="s">
        <v>118</v>
      </c>
      <c r="C133" s="13" t="s">
        <v>50</v>
      </c>
      <c r="D133" s="13" t="s">
        <v>42</v>
      </c>
      <c r="E133" s="13" t="s">
        <v>205</v>
      </c>
      <c r="F133" s="13" t="s">
        <v>189</v>
      </c>
      <c r="G133" s="13" t="s">
        <v>219</v>
      </c>
      <c r="H133" s="13" t="s">
        <v>244</v>
      </c>
      <c r="I133" s="15">
        <v>43141</v>
      </c>
      <c r="J133" s="15">
        <v>43142</v>
      </c>
    </row>
    <row r="134" spans="1:10" hidden="1" x14ac:dyDescent="0.2">
      <c r="A134" s="13" t="s">
        <v>109</v>
      </c>
      <c r="B134" s="14" t="s">
        <v>119</v>
      </c>
      <c r="C134" s="13" t="s">
        <v>50</v>
      </c>
      <c r="D134" s="13" t="s">
        <v>29</v>
      </c>
      <c r="E134" s="13" t="s">
        <v>205</v>
      </c>
      <c r="F134" s="13" t="s">
        <v>189</v>
      </c>
      <c r="G134" s="13" t="s">
        <v>219</v>
      </c>
      <c r="H134" s="13" t="s">
        <v>244</v>
      </c>
      <c r="I134" s="15">
        <v>43141</v>
      </c>
      <c r="J134" s="15">
        <v>43142</v>
      </c>
    </row>
    <row r="135" spans="1:10" x14ac:dyDescent="0.2">
      <c r="A135" s="13"/>
      <c r="B135" s="14"/>
      <c r="C135" s="13"/>
      <c r="D135" s="13"/>
      <c r="E135" s="13"/>
      <c r="F135" s="13"/>
      <c r="G135" s="13"/>
      <c r="H135" s="13"/>
      <c r="I135" s="15"/>
      <c r="J135" s="15"/>
    </row>
    <row r="136" spans="1:10" x14ac:dyDescent="0.2">
      <c r="A136" s="13"/>
      <c r="B136" s="14"/>
      <c r="C136" s="13"/>
      <c r="D136" s="13"/>
      <c r="E136" s="13"/>
      <c r="F136" s="13"/>
      <c r="G136" s="13"/>
      <c r="H136" s="13"/>
      <c r="I136" s="15"/>
      <c r="J136" s="15"/>
    </row>
    <row r="137" spans="1:10" x14ac:dyDescent="0.2">
      <c r="A137" s="13"/>
      <c r="B137" s="14"/>
      <c r="C137" s="13"/>
      <c r="D137" s="13"/>
      <c r="E137" s="13"/>
      <c r="F137" s="13"/>
      <c r="G137" s="13"/>
      <c r="H137" s="13"/>
      <c r="I137" s="15"/>
      <c r="J137" s="15"/>
    </row>
    <row r="138" spans="1:10" x14ac:dyDescent="0.2">
      <c r="A138" s="13"/>
      <c r="B138" s="14"/>
      <c r="C138" s="13"/>
      <c r="D138" s="13"/>
      <c r="E138" s="13"/>
      <c r="F138" s="13"/>
      <c r="G138" s="13"/>
      <c r="H138" s="13"/>
      <c r="I138" s="15"/>
      <c r="J138" s="15"/>
    </row>
    <row r="139" spans="1:10" x14ac:dyDescent="0.2">
      <c r="A139" s="13"/>
      <c r="B139" s="14"/>
      <c r="C139" s="13"/>
      <c r="D139" s="13"/>
      <c r="E139" s="13"/>
      <c r="F139" s="13"/>
      <c r="G139" s="13"/>
      <c r="H139" s="13"/>
      <c r="I139" s="15"/>
      <c r="J139" s="15"/>
    </row>
    <row r="140" spans="1:10" x14ac:dyDescent="0.2">
      <c r="A140" s="13"/>
      <c r="B140" s="14"/>
      <c r="C140" s="13"/>
      <c r="D140" s="13"/>
      <c r="E140" s="13"/>
      <c r="F140" s="13"/>
      <c r="G140" s="13"/>
      <c r="H140" s="13"/>
      <c r="I140" s="15"/>
      <c r="J140" s="15"/>
    </row>
    <row r="141" spans="1:10" x14ac:dyDescent="0.2">
      <c r="A141" s="13"/>
      <c r="B141" s="14"/>
      <c r="C141" s="13"/>
      <c r="D141" s="13"/>
      <c r="E141" s="13"/>
      <c r="F141" s="13"/>
      <c r="G141" s="13"/>
      <c r="H141" s="13"/>
      <c r="I141" s="15"/>
      <c r="J141" s="15"/>
    </row>
    <row r="142" spans="1:10" x14ac:dyDescent="0.2">
      <c r="A142" s="13"/>
      <c r="B142" s="14"/>
      <c r="C142" s="13"/>
      <c r="D142" s="13"/>
      <c r="E142" s="13"/>
      <c r="F142" s="13"/>
      <c r="G142" s="13"/>
      <c r="H142" s="13"/>
      <c r="I142" s="15"/>
      <c r="J142" s="15"/>
    </row>
    <row r="143" spans="1:10" x14ac:dyDescent="0.2">
      <c r="A143" s="13"/>
      <c r="B143" s="14"/>
      <c r="C143" s="13"/>
      <c r="D143" s="13"/>
      <c r="E143" s="13"/>
      <c r="F143" s="13"/>
      <c r="G143" s="13"/>
      <c r="H143" s="13"/>
      <c r="I143" s="15"/>
      <c r="J143" s="15"/>
    </row>
    <row r="144" spans="1:10" x14ac:dyDescent="0.2">
      <c r="A144" s="13"/>
      <c r="B144" s="14"/>
      <c r="C144" s="13"/>
      <c r="D144" s="13"/>
      <c r="E144" s="13"/>
      <c r="F144" s="13"/>
      <c r="G144" s="13"/>
      <c r="H144" s="13"/>
      <c r="I144" s="15"/>
      <c r="J144" s="15"/>
    </row>
    <row r="145" spans="1:10" x14ac:dyDescent="0.2">
      <c r="A145" s="13"/>
      <c r="B145" s="14"/>
      <c r="C145" s="13"/>
      <c r="D145" s="13"/>
      <c r="E145" s="13"/>
      <c r="F145" s="13"/>
      <c r="G145" s="13"/>
      <c r="H145" s="13"/>
      <c r="I145" s="15"/>
      <c r="J145" s="15"/>
    </row>
    <row r="146" spans="1:10" x14ac:dyDescent="0.2">
      <c r="A146" s="13"/>
      <c r="B146" s="14"/>
      <c r="C146" s="13"/>
      <c r="D146" s="13"/>
      <c r="E146" s="13"/>
      <c r="F146" s="13"/>
      <c r="G146" s="13"/>
      <c r="H146" s="13"/>
      <c r="I146" s="15"/>
      <c r="J146" s="15"/>
    </row>
    <row r="147" spans="1:10" x14ac:dyDescent="0.2">
      <c r="A147" s="13"/>
      <c r="B147" s="14"/>
      <c r="C147" s="13"/>
      <c r="D147" s="13"/>
      <c r="E147" s="13"/>
      <c r="F147" s="13"/>
      <c r="G147" s="13"/>
      <c r="H147" s="13"/>
      <c r="I147" s="15"/>
      <c r="J147" s="15"/>
    </row>
    <row r="148" spans="1:10" x14ac:dyDescent="0.2">
      <c r="A148" s="13"/>
      <c r="B148" s="14"/>
      <c r="C148" s="13"/>
      <c r="D148" s="13"/>
      <c r="E148" s="13"/>
      <c r="F148" s="13"/>
      <c r="G148" s="13"/>
      <c r="H148" s="13"/>
      <c r="I148" s="15"/>
      <c r="J148" s="15"/>
    </row>
    <row r="149" spans="1:10" x14ac:dyDescent="0.2">
      <c r="A149" s="13"/>
      <c r="B149" s="14"/>
      <c r="C149" s="13"/>
      <c r="D149" s="13"/>
      <c r="E149" s="13"/>
      <c r="F149" s="13"/>
      <c r="G149" s="13"/>
      <c r="H149" s="13"/>
      <c r="I149" s="15"/>
      <c r="J149" s="15"/>
    </row>
    <row r="150" spans="1:10" x14ac:dyDescent="0.2">
      <c r="A150" s="13"/>
      <c r="B150" s="14"/>
      <c r="C150" s="13"/>
      <c r="D150" s="13"/>
      <c r="E150" s="13"/>
      <c r="F150" s="13"/>
      <c r="G150" s="13"/>
      <c r="H150" s="13"/>
      <c r="I150" s="15"/>
      <c r="J150" s="15"/>
    </row>
    <row r="151" spans="1:10" x14ac:dyDescent="0.2">
      <c r="A151" s="13"/>
      <c r="B151" s="14"/>
      <c r="C151" s="13"/>
      <c r="D151" s="13"/>
      <c r="E151" s="13"/>
      <c r="F151" s="13"/>
      <c r="G151" s="13"/>
      <c r="H151" s="13"/>
      <c r="I151" s="15"/>
      <c r="J151" s="15"/>
    </row>
    <row r="152" spans="1:10" x14ac:dyDescent="0.2">
      <c r="A152" s="13"/>
      <c r="B152" s="14"/>
      <c r="C152" s="13"/>
      <c r="D152" s="13"/>
      <c r="E152" s="13"/>
      <c r="F152" s="13"/>
      <c r="G152" s="13"/>
      <c r="H152" s="13"/>
      <c r="I152" s="15"/>
      <c r="J152" s="15"/>
    </row>
    <row r="153" spans="1:10" x14ac:dyDescent="0.2">
      <c r="A153" s="13"/>
      <c r="B153" s="14"/>
      <c r="C153" s="13"/>
      <c r="D153" s="13"/>
      <c r="E153" s="13"/>
      <c r="F153" s="13"/>
      <c r="G153" s="13"/>
      <c r="H153" s="13"/>
      <c r="I153" s="15"/>
      <c r="J153" s="15"/>
    </row>
    <row r="154" spans="1:10" x14ac:dyDescent="0.2">
      <c r="A154" s="13"/>
      <c r="B154" s="14"/>
      <c r="C154" s="13"/>
      <c r="D154" s="13"/>
      <c r="E154" s="13"/>
      <c r="F154" s="13"/>
      <c r="G154" s="13"/>
      <c r="H154" s="13"/>
      <c r="I154" s="15"/>
      <c r="J154" s="15"/>
    </row>
    <row r="155" spans="1:10" x14ac:dyDescent="0.2">
      <c r="A155" s="13"/>
      <c r="B155" s="14"/>
      <c r="C155" s="13"/>
      <c r="D155" s="13"/>
      <c r="E155" s="13"/>
      <c r="F155" s="13"/>
      <c r="G155" s="13"/>
      <c r="H155" s="13"/>
      <c r="I155" s="15"/>
      <c r="J155" s="15"/>
    </row>
    <row r="156" spans="1:10" x14ac:dyDescent="0.2">
      <c r="A156" s="13"/>
      <c r="B156" s="14"/>
      <c r="C156" s="13"/>
      <c r="D156" s="13"/>
      <c r="E156" s="13"/>
      <c r="F156" s="13"/>
      <c r="G156" s="13"/>
      <c r="H156" s="13"/>
      <c r="I156" s="15"/>
      <c r="J156" s="15"/>
    </row>
    <row r="157" spans="1:10" x14ac:dyDescent="0.2">
      <c r="A157" s="13"/>
      <c r="B157" s="14"/>
      <c r="C157" s="13"/>
      <c r="D157" s="13"/>
      <c r="E157" s="13"/>
      <c r="F157" s="13"/>
      <c r="G157" s="13"/>
      <c r="H157" s="13"/>
      <c r="I157" s="15"/>
      <c r="J157" s="15"/>
    </row>
    <row r="158" spans="1:10" x14ac:dyDescent="0.2">
      <c r="A158" s="13"/>
      <c r="B158" s="14"/>
      <c r="C158" s="13"/>
      <c r="D158" s="13"/>
      <c r="E158" s="13"/>
      <c r="F158" s="13"/>
      <c r="G158" s="13"/>
      <c r="H158" s="13"/>
      <c r="I158" s="15"/>
      <c r="J158" s="15"/>
    </row>
    <row r="159" spans="1:10" x14ac:dyDescent="0.2">
      <c r="A159" s="13"/>
      <c r="B159" s="14"/>
      <c r="C159" s="13"/>
      <c r="D159" s="13"/>
      <c r="E159" s="13"/>
      <c r="F159" s="13"/>
      <c r="G159" s="13"/>
      <c r="H159" s="13"/>
      <c r="I159" s="15"/>
      <c r="J159" s="15"/>
    </row>
    <row r="160" spans="1:10" x14ac:dyDescent="0.2">
      <c r="A160" s="13"/>
      <c r="B160" s="14"/>
      <c r="C160" s="13"/>
      <c r="D160" s="13"/>
      <c r="E160" s="13"/>
      <c r="F160" s="13"/>
      <c r="G160" s="13"/>
      <c r="H160" s="13"/>
      <c r="I160" s="15"/>
      <c r="J160" s="15"/>
    </row>
    <row r="161" spans="1:10" x14ac:dyDescent="0.2">
      <c r="A161" s="13"/>
      <c r="B161" s="14"/>
      <c r="C161" s="13"/>
      <c r="D161" s="13"/>
      <c r="E161" s="13"/>
      <c r="F161" s="13"/>
      <c r="G161" s="13"/>
      <c r="H161" s="13"/>
      <c r="I161" s="15"/>
      <c r="J161" s="15"/>
    </row>
    <row r="162" spans="1:10" x14ac:dyDescent="0.2">
      <c r="A162" s="13"/>
      <c r="B162" s="14"/>
      <c r="C162" s="13"/>
      <c r="D162" s="13"/>
      <c r="E162" s="13"/>
      <c r="F162" s="13"/>
      <c r="G162" s="13"/>
      <c r="H162" s="13"/>
      <c r="I162" s="15"/>
      <c r="J162" s="15"/>
    </row>
    <row r="163" spans="1:10" x14ac:dyDescent="0.2">
      <c r="A163" s="13"/>
      <c r="B163" s="14"/>
      <c r="C163" s="13"/>
      <c r="D163" s="13"/>
      <c r="E163" s="13"/>
      <c r="F163" s="13"/>
      <c r="G163" s="13"/>
      <c r="H163" s="13"/>
      <c r="I163" s="15"/>
      <c r="J163" s="15"/>
    </row>
    <row r="164" spans="1:10" x14ac:dyDescent="0.2">
      <c r="A164" s="13"/>
      <c r="B164" s="14"/>
      <c r="C164" s="13"/>
      <c r="D164" s="13"/>
      <c r="E164" s="13"/>
      <c r="F164" s="13"/>
      <c r="G164" s="13"/>
      <c r="H164" s="13"/>
      <c r="I164" s="15"/>
      <c r="J164" s="15"/>
    </row>
    <row r="165" spans="1:10" x14ac:dyDescent="0.2">
      <c r="A165" s="13"/>
      <c r="B165" s="14"/>
      <c r="C165" s="13"/>
      <c r="D165" s="13"/>
      <c r="E165" s="13"/>
      <c r="F165" s="13"/>
      <c r="G165" s="13"/>
      <c r="H165" s="13"/>
      <c r="I165" s="15"/>
      <c r="J165" s="15"/>
    </row>
    <row r="166" spans="1:10" x14ac:dyDescent="0.2">
      <c r="A166" s="13"/>
      <c r="B166" s="14"/>
      <c r="C166" s="13"/>
      <c r="D166" s="13"/>
      <c r="E166" s="13"/>
      <c r="F166" s="13"/>
      <c r="G166" s="13"/>
      <c r="H166" s="13"/>
      <c r="I166" s="15"/>
      <c r="J166" s="15"/>
    </row>
    <row r="167" spans="1:10" x14ac:dyDescent="0.2">
      <c r="A167" s="13"/>
      <c r="B167" s="14"/>
      <c r="C167" s="13"/>
      <c r="D167" s="13"/>
      <c r="E167" s="13"/>
      <c r="F167" s="13"/>
      <c r="G167" s="13"/>
      <c r="H167" s="13"/>
      <c r="I167" s="15"/>
      <c r="J167" s="15"/>
    </row>
    <row r="168" spans="1:10" x14ac:dyDescent="0.2">
      <c r="A168" s="13"/>
      <c r="B168" s="14"/>
      <c r="C168" s="13"/>
      <c r="D168" s="13"/>
      <c r="E168" s="13"/>
      <c r="F168" s="13"/>
      <c r="G168" s="13"/>
      <c r="H168" s="13"/>
      <c r="I168" s="15"/>
      <c r="J168" s="15"/>
    </row>
    <row r="169" spans="1:10" x14ac:dyDescent="0.2">
      <c r="A169" s="13"/>
      <c r="B169" s="14"/>
      <c r="C169" s="13"/>
      <c r="D169" s="13"/>
      <c r="E169" s="13"/>
      <c r="F169" s="13"/>
      <c r="G169" s="13"/>
      <c r="H169" s="13"/>
      <c r="I169" s="15"/>
      <c r="J169" s="15"/>
    </row>
    <row r="170" spans="1:10" x14ac:dyDescent="0.2">
      <c r="A170" s="13"/>
      <c r="B170" s="14"/>
      <c r="C170" s="13"/>
      <c r="D170" s="13"/>
      <c r="E170" s="13"/>
      <c r="F170" s="13"/>
      <c r="G170" s="13"/>
      <c r="H170" s="13"/>
      <c r="I170" s="15"/>
      <c r="J170" s="15"/>
    </row>
    <row r="171" spans="1:10" x14ac:dyDescent="0.2">
      <c r="A171" s="13"/>
      <c r="B171" s="14"/>
      <c r="C171" s="13"/>
      <c r="D171" s="13"/>
      <c r="E171" s="13"/>
      <c r="F171" s="13"/>
      <c r="G171" s="13"/>
      <c r="H171" s="13"/>
      <c r="I171" s="15"/>
      <c r="J171" s="15"/>
    </row>
    <row r="172" spans="1:10" x14ac:dyDescent="0.2">
      <c r="A172" s="13"/>
      <c r="B172" s="14"/>
      <c r="C172" s="13"/>
      <c r="D172" s="13"/>
      <c r="E172" s="13"/>
      <c r="F172" s="13"/>
      <c r="G172" s="13"/>
      <c r="H172" s="13"/>
      <c r="I172" s="15"/>
      <c r="J172" s="15"/>
    </row>
    <row r="173" spans="1:10" x14ac:dyDescent="0.2">
      <c r="A173" s="13"/>
      <c r="B173" s="14"/>
      <c r="C173" s="13"/>
      <c r="D173" s="13"/>
      <c r="E173" s="13"/>
      <c r="F173" s="13"/>
      <c r="G173" s="13"/>
      <c r="H173" s="13"/>
      <c r="I173" s="15"/>
      <c r="J173" s="15"/>
    </row>
    <row r="174" spans="1:10" x14ac:dyDescent="0.2">
      <c r="A174" s="13"/>
      <c r="B174" s="14"/>
      <c r="C174" s="13"/>
      <c r="D174" s="13"/>
      <c r="E174" s="13"/>
      <c r="F174" s="13"/>
      <c r="G174" s="13"/>
      <c r="H174" s="13"/>
      <c r="I174" s="15"/>
      <c r="J174" s="15"/>
    </row>
    <row r="175" spans="1:10" x14ac:dyDescent="0.2">
      <c r="A175" s="13"/>
      <c r="B175" s="14"/>
      <c r="C175" s="13"/>
      <c r="D175" s="13"/>
      <c r="E175" s="13"/>
      <c r="F175" s="13"/>
      <c r="G175" s="13"/>
      <c r="H175" s="13"/>
      <c r="I175" s="15"/>
      <c r="J175" s="15"/>
    </row>
    <row r="176" spans="1:10" x14ac:dyDescent="0.2">
      <c r="A176" s="13"/>
      <c r="B176" s="14"/>
      <c r="C176" s="13"/>
      <c r="D176" s="13"/>
      <c r="E176" s="13"/>
      <c r="F176" s="13"/>
      <c r="G176" s="13"/>
      <c r="H176" s="13"/>
      <c r="I176" s="15"/>
      <c r="J176" s="15"/>
    </row>
    <row r="177" spans="1:10" x14ac:dyDescent="0.2">
      <c r="A177" s="13"/>
      <c r="B177" s="14"/>
      <c r="C177" s="13"/>
      <c r="D177" s="13"/>
      <c r="E177" s="13"/>
      <c r="F177" s="13"/>
      <c r="G177" s="13"/>
      <c r="H177" s="13"/>
      <c r="I177" s="15"/>
      <c r="J177" s="15"/>
    </row>
    <row r="178" spans="1:10" x14ac:dyDescent="0.2">
      <c r="A178" s="13"/>
      <c r="B178" s="14"/>
      <c r="C178" s="13"/>
      <c r="D178" s="13"/>
      <c r="E178" s="13"/>
      <c r="F178" s="13"/>
      <c r="G178" s="13"/>
      <c r="H178" s="13"/>
      <c r="I178" s="15"/>
      <c r="J178" s="15"/>
    </row>
    <row r="179" spans="1:10" x14ac:dyDescent="0.2">
      <c r="A179" s="13"/>
      <c r="B179" s="14"/>
      <c r="C179" s="13"/>
      <c r="D179" s="13"/>
      <c r="E179" s="13"/>
      <c r="F179" s="13"/>
      <c r="G179" s="13"/>
      <c r="H179" s="13"/>
      <c r="I179" s="15"/>
      <c r="J179" s="15"/>
    </row>
    <row r="180" spans="1:10" x14ac:dyDescent="0.2">
      <c r="A180" s="13"/>
      <c r="B180" s="14"/>
      <c r="C180" s="13"/>
      <c r="D180" s="13"/>
      <c r="E180" s="13"/>
      <c r="F180" s="13"/>
      <c r="G180" s="13"/>
      <c r="H180" s="13"/>
      <c r="I180" s="15"/>
      <c r="J180" s="15"/>
    </row>
    <row r="181" spans="1:10" x14ac:dyDescent="0.2">
      <c r="A181" s="13"/>
      <c r="B181" s="14"/>
      <c r="C181" s="13"/>
      <c r="D181" s="13"/>
      <c r="E181" s="13"/>
      <c r="F181" s="13"/>
      <c r="G181" s="13"/>
      <c r="H181" s="13"/>
      <c r="I181" s="15"/>
      <c r="J181" s="15"/>
    </row>
    <row r="182" spans="1:10" x14ac:dyDescent="0.2">
      <c r="A182" s="13"/>
      <c r="B182" s="14"/>
      <c r="C182" s="13"/>
      <c r="D182" s="13"/>
      <c r="E182" s="13"/>
      <c r="F182" s="13"/>
      <c r="G182" s="13"/>
      <c r="H182" s="13"/>
      <c r="I182" s="15"/>
      <c r="J182" s="15"/>
    </row>
    <row r="183" spans="1:10" x14ac:dyDescent="0.2">
      <c r="A183" s="13"/>
      <c r="B183" s="14"/>
      <c r="C183" s="13"/>
      <c r="D183" s="13"/>
      <c r="E183" s="13"/>
      <c r="F183" s="13"/>
      <c r="G183" s="13"/>
      <c r="H183" s="13"/>
      <c r="I183" s="15"/>
      <c r="J183" s="15"/>
    </row>
    <row r="184" spans="1:10" x14ac:dyDescent="0.2">
      <c r="A184" s="13"/>
      <c r="B184" s="14"/>
      <c r="C184" s="13"/>
      <c r="D184" s="13"/>
      <c r="E184" s="13"/>
      <c r="F184" s="13"/>
      <c r="G184" s="13"/>
      <c r="H184" s="13"/>
      <c r="I184" s="15"/>
      <c r="J184" s="15"/>
    </row>
    <row r="185" spans="1:10" x14ac:dyDescent="0.2">
      <c r="A185" s="13"/>
      <c r="B185" s="14"/>
      <c r="C185" s="13"/>
      <c r="D185" s="13"/>
      <c r="E185" s="13"/>
      <c r="F185" s="13"/>
      <c r="G185" s="13"/>
      <c r="H185" s="13"/>
      <c r="I185" s="15"/>
      <c r="J185" s="15"/>
    </row>
    <row r="186" spans="1:10" x14ac:dyDescent="0.2">
      <c r="A186" s="13"/>
      <c r="B186" s="14"/>
      <c r="C186" s="13"/>
      <c r="D186" s="13"/>
      <c r="E186" s="13"/>
      <c r="F186" s="13"/>
      <c r="G186" s="13"/>
      <c r="H186" s="13"/>
      <c r="I186" s="15"/>
      <c r="J186" s="15"/>
    </row>
    <row r="187" spans="1:10" x14ac:dyDescent="0.2">
      <c r="A187" s="13"/>
      <c r="B187" s="14"/>
      <c r="C187" s="13"/>
      <c r="D187" s="13"/>
      <c r="E187" s="13"/>
      <c r="F187" s="13"/>
      <c r="G187" s="13"/>
      <c r="H187" s="13"/>
      <c r="I187" s="15"/>
      <c r="J187" s="15"/>
    </row>
    <row r="188" spans="1:10" x14ac:dyDescent="0.2">
      <c r="A188" s="13"/>
      <c r="B188" s="14"/>
      <c r="C188" s="13"/>
      <c r="D188" s="13"/>
      <c r="E188" s="13"/>
      <c r="F188" s="13"/>
      <c r="G188" s="13"/>
      <c r="H188" s="13"/>
      <c r="I188" s="15"/>
      <c r="J188" s="15"/>
    </row>
    <row r="189" spans="1:10" x14ac:dyDescent="0.2">
      <c r="A189" s="13"/>
      <c r="B189" s="14"/>
      <c r="C189" s="13"/>
      <c r="D189" s="13"/>
      <c r="E189" s="13"/>
      <c r="F189" s="13"/>
      <c r="G189" s="13"/>
      <c r="H189" s="13"/>
      <c r="I189" s="15"/>
      <c r="J189" s="15"/>
    </row>
    <row r="190" spans="1:10" x14ac:dyDescent="0.2">
      <c r="A190" s="13"/>
      <c r="B190" s="14"/>
      <c r="C190" s="13"/>
      <c r="D190" s="13"/>
      <c r="E190" s="13"/>
      <c r="F190" s="13"/>
      <c r="G190" s="13"/>
      <c r="H190" s="13"/>
      <c r="I190" s="15"/>
      <c r="J190" s="15"/>
    </row>
    <row r="191" spans="1:10" x14ac:dyDescent="0.2">
      <c r="A191" s="13"/>
      <c r="B191" s="14"/>
      <c r="C191" s="13"/>
      <c r="D191" s="13"/>
      <c r="E191" s="13"/>
      <c r="F191" s="13"/>
      <c r="G191" s="13"/>
      <c r="H191" s="13"/>
      <c r="I191" s="15"/>
      <c r="J191" s="15"/>
    </row>
    <row r="192" spans="1:10" x14ac:dyDescent="0.2">
      <c r="A192" s="13"/>
      <c r="B192" s="14"/>
      <c r="C192" s="13"/>
      <c r="D192" s="13"/>
      <c r="E192" s="13"/>
      <c r="F192" s="13"/>
      <c r="G192" s="13"/>
      <c r="H192" s="13"/>
      <c r="I192" s="15"/>
      <c r="J192" s="15"/>
    </row>
    <row r="193" spans="1:10" x14ac:dyDescent="0.2">
      <c r="A193" s="13"/>
      <c r="B193" s="14"/>
      <c r="C193" s="13"/>
      <c r="D193" s="13"/>
      <c r="E193" s="13"/>
      <c r="F193" s="13"/>
      <c r="G193" s="13"/>
      <c r="H193" s="13"/>
      <c r="I193" s="15"/>
      <c r="J193" s="15"/>
    </row>
    <row r="194" spans="1:10" x14ac:dyDescent="0.2">
      <c r="A194" s="13"/>
      <c r="B194" s="14"/>
      <c r="C194" s="13"/>
      <c r="D194" s="13"/>
      <c r="E194" s="13"/>
      <c r="F194" s="13"/>
      <c r="G194" s="13"/>
      <c r="H194" s="13"/>
      <c r="I194" s="15"/>
      <c r="J194" s="15"/>
    </row>
    <row r="195" spans="1:10" x14ac:dyDescent="0.2">
      <c r="A195" s="13"/>
      <c r="B195" s="14"/>
      <c r="C195" s="13"/>
      <c r="D195" s="13"/>
      <c r="E195" s="13"/>
      <c r="F195" s="13"/>
      <c r="G195" s="13"/>
      <c r="H195" s="13"/>
      <c r="I195" s="15"/>
      <c r="J195" s="15"/>
    </row>
    <row r="196" spans="1:10" x14ac:dyDescent="0.2">
      <c r="A196" s="13"/>
      <c r="B196" s="14"/>
      <c r="C196" s="13"/>
      <c r="D196" s="13"/>
      <c r="E196" s="13"/>
      <c r="F196" s="13"/>
      <c r="G196" s="13"/>
      <c r="H196" s="13"/>
      <c r="I196" s="15"/>
      <c r="J196" s="15"/>
    </row>
    <row r="197" spans="1:10" x14ac:dyDescent="0.2">
      <c r="A197" s="13"/>
      <c r="B197" s="14"/>
      <c r="C197" s="13"/>
      <c r="D197" s="13"/>
      <c r="E197" s="13"/>
      <c r="F197" s="13"/>
      <c r="G197" s="13"/>
      <c r="H197" s="13"/>
      <c r="I197" s="15"/>
      <c r="J197" s="15"/>
    </row>
    <row r="198" spans="1:10" x14ac:dyDescent="0.2">
      <c r="A198" s="13"/>
      <c r="B198" s="14"/>
      <c r="C198" s="13"/>
      <c r="D198" s="13"/>
      <c r="E198" s="13"/>
      <c r="F198" s="13"/>
      <c r="G198" s="13"/>
      <c r="H198" s="13"/>
      <c r="I198" s="15"/>
      <c r="J198" s="15"/>
    </row>
    <row r="199" spans="1:10" x14ac:dyDescent="0.2">
      <c r="A199" s="13"/>
      <c r="B199" s="14"/>
      <c r="C199" s="13"/>
      <c r="D199" s="13"/>
      <c r="E199" s="13"/>
      <c r="F199" s="13"/>
      <c r="G199" s="13"/>
      <c r="H199" s="13"/>
      <c r="I199" s="15"/>
      <c r="J199" s="15"/>
    </row>
    <row r="200" spans="1:10" x14ac:dyDescent="0.2">
      <c r="A200" s="13"/>
      <c r="B200" s="14"/>
      <c r="C200" s="13"/>
      <c r="D200" s="13"/>
      <c r="E200" s="13"/>
      <c r="F200" s="13"/>
      <c r="G200" s="13"/>
      <c r="H200" s="13"/>
      <c r="I200" s="15"/>
      <c r="J200" s="15"/>
    </row>
    <row r="201" spans="1:10" x14ac:dyDescent="0.2">
      <c r="A201" s="13"/>
      <c r="B201" s="14"/>
      <c r="C201" s="13"/>
      <c r="D201" s="13"/>
      <c r="E201" s="13"/>
      <c r="F201" s="13"/>
      <c r="G201" s="13"/>
      <c r="H201" s="13"/>
      <c r="I201" s="15"/>
      <c r="J201" s="15"/>
    </row>
    <row r="202" spans="1:10" x14ac:dyDescent="0.2">
      <c r="A202" s="13"/>
      <c r="B202" s="14"/>
      <c r="C202" s="13"/>
      <c r="D202" s="13"/>
      <c r="E202" s="13"/>
      <c r="F202" s="13"/>
      <c r="G202" s="13"/>
      <c r="H202" s="13"/>
      <c r="I202" s="15"/>
      <c r="J202" s="15"/>
    </row>
    <row r="203" spans="1:10" x14ac:dyDescent="0.2">
      <c r="A203" s="13"/>
      <c r="B203" s="14"/>
      <c r="C203" s="13"/>
      <c r="D203" s="13"/>
      <c r="E203" s="13"/>
      <c r="F203" s="13"/>
      <c r="G203" s="13"/>
      <c r="H203" s="13"/>
      <c r="I203" s="15"/>
      <c r="J203" s="15"/>
    </row>
    <row r="204" spans="1:10" x14ac:dyDescent="0.2">
      <c r="A204" s="13"/>
      <c r="B204" s="14"/>
      <c r="C204" s="13"/>
      <c r="D204" s="13"/>
      <c r="E204" s="13"/>
      <c r="F204" s="13"/>
      <c r="G204" s="13"/>
      <c r="H204" s="13"/>
      <c r="I204" s="15"/>
      <c r="J204" s="15"/>
    </row>
    <row r="205" spans="1:10" x14ac:dyDescent="0.2">
      <c r="A205" s="13"/>
      <c r="B205" s="14"/>
      <c r="C205" s="13"/>
      <c r="D205" s="13"/>
      <c r="E205" s="13"/>
      <c r="F205" s="13"/>
      <c r="G205" s="13"/>
      <c r="H205" s="13"/>
      <c r="I205" s="15"/>
      <c r="J205" s="15"/>
    </row>
    <row r="206" spans="1:10" x14ac:dyDescent="0.2">
      <c r="A206" s="13"/>
      <c r="B206" s="14"/>
      <c r="C206" s="13"/>
      <c r="D206" s="13"/>
      <c r="E206" s="13"/>
      <c r="F206" s="13"/>
      <c r="G206" s="13"/>
      <c r="H206" s="13"/>
      <c r="I206" s="15"/>
      <c r="J206" s="15"/>
    </row>
    <row r="207" spans="1:10" x14ac:dyDescent="0.2">
      <c r="A207" s="13"/>
      <c r="B207" s="14"/>
      <c r="C207" s="13"/>
      <c r="D207" s="13"/>
      <c r="E207" s="13"/>
      <c r="F207" s="13"/>
      <c r="G207" s="13"/>
      <c r="H207" s="13"/>
      <c r="I207" s="15"/>
      <c r="J207" s="15"/>
    </row>
    <row r="208" spans="1:10" x14ac:dyDescent="0.2">
      <c r="A208" s="13"/>
      <c r="B208" s="14"/>
      <c r="C208" s="13"/>
      <c r="D208" s="13"/>
      <c r="E208" s="13"/>
      <c r="F208" s="13"/>
      <c r="G208" s="13"/>
      <c r="H208" s="13"/>
      <c r="I208" s="15"/>
      <c r="J208" s="15"/>
    </row>
    <row r="209" spans="1:10" x14ac:dyDescent="0.2">
      <c r="A209" s="13"/>
      <c r="B209" s="14"/>
      <c r="C209" s="13"/>
      <c r="D209" s="13"/>
      <c r="E209" s="13"/>
      <c r="F209" s="13"/>
      <c r="G209" s="13"/>
      <c r="H209" s="13"/>
      <c r="I209" s="15"/>
      <c r="J209" s="15"/>
    </row>
    <row r="210" spans="1:10" x14ac:dyDescent="0.2">
      <c r="A210" s="13"/>
      <c r="B210" s="14"/>
      <c r="C210" s="13"/>
      <c r="D210" s="13"/>
      <c r="E210" s="13"/>
      <c r="F210" s="13"/>
      <c r="G210" s="13"/>
      <c r="H210" s="13"/>
      <c r="I210" s="15"/>
      <c r="J210" s="15"/>
    </row>
    <row r="211" spans="1:10" x14ac:dyDescent="0.2">
      <c r="A211" s="13"/>
      <c r="B211" s="14"/>
      <c r="C211" s="13"/>
      <c r="D211" s="13"/>
      <c r="E211" s="13"/>
      <c r="F211" s="13"/>
      <c r="G211" s="13"/>
      <c r="H211" s="13"/>
      <c r="I211" s="15"/>
      <c r="J211" s="15"/>
    </row>
    <row r="212" spans="1:10" x14ac:dyDescent="0.2">
      <c r="A212" s="13"/>
      <c r="B212" s="14"/>
      <c r="C212" s="13"/>
      <c r="D212" s="13"/>
      <c r="E212" s="13"/>
      <c r="F212" s="13"/>
      <c r="G212" s="13"/>
      <c r="H212" s="13"/>
      <c r="I212" s="15"/>
      <c r="J212" s="15"/>
    </row>
    <row r="213" spans="1:10" x14ac:dyDescent="0.2">
      <c r="A213" s="13"/>
      <c r="B213" s="14"/>
      <c r="C213" s="13"/>
      <c r="D213" s="13"/>
      <c r="E213" s="13"/>
      <c r="F213" s="13"/>
      <c r="G213" s="13"/>
      <c r="H213" s="13"/>
      <c r="I213" s="15"/>
      <c r="J213" s="15"/>
    </row>
    <row r="214" spans="1:10" x14ac:dyDescent="0.2">
      <c r="A214" s="13"/>
      <c r="B214" s="14"/>
      <c r="C214" s="13"/>
      <c r="D214" s="13"/>
      <c r="E214" s="13"/>
      <c r="F214" s="13"/>
      <c r="G214" s="13"/>
      <c r="H214" s="13"/>
      <c r="I214" s="15"/>
      <c r="J214" s="15"/>
    </row>
    <row r="215" spans="1:10" x14ac:dyDescent="0.2">
      <c r="A215" s="13"/>
      <c r="B215" s="14"/>
      <c r="C215" s="13"/>
      <c r="D215" s="13"/>
      <c r="E215" s="13"/>
      <c r="F215" s="13"/>
      <c r="G215" s="13"/>
      <c r="H215" s="13"/>
      <c r="I215" s="15"/>
      <c r="J215" s="15"/>
    </row>
    <row r="216" spans="1:10" x14ac:dyDescent="0.2">
      <c r="A216" s="13"/>
      <c r="B216" s="14"/>
      <c r="C216" s="13"/>
      <c r="D216" s="13"/>
      <c r="E216" s="13"/>
      <c r="F216" s="13"/>
      <c r="G216" s="13"/>
      <c r="H216" s="13"/>
      <c r="I216" s="15"/>
      <c r="J216" s="15"/>
    </row>
    <row r="217" spans="1:10" x14ac:dyDescent="0.2">
      <c r="A217" s="13"/>
      <c r="B217" s="14"/>
      <c r="C217" s="13"/>
      <c r="D217" s="13"/>
      <c r="E217" s="13"/>
      <c r="F217" s="13"/>
      <c r="G217" s="13"/>
      <c r="H217" s="13"/>
      <c r="I217" s="15"/>
      <c r="J217" s="15"/>
    </row>
    <row r="218" spans="1:10" x14ac:dyDescent="0.2">
      <c r="A218" s="13"/>
      <c r="B218" s="14"/>
      <c r="C218" s="13"/>
      <c r="D218" s="13"/>
      <c r="E218" s="13"/>
      <c r="F218" s="13"/>
      <c r="G218" s="13"/>
      <c r="H218" s="13"/>
      <c r="I218" s="15"/>
      <c r="J218" s="15"/>
    </row>
    <row r="219" spans="1:10" x14ac:dyDescent="0.2">
      <c r="A219" s="13"/>
      <c r="B219" s="14"/>
      <c r="C219" s="13"/>
      <c r="D219" s="13"/>
      <c r="E219" s="13"/>
      <c r="F219" s="13"/>
      <c r="G219" s="13"/>
      <c r="H219" s="13"/>
      <c r="I219" s="15"/>
      <c r="J219" s="15"/>
    </row>
    <row r="220" spans="1:10" x14ac:dyDescent="0.2">
      <c r="A220" s="13"/>
      <c r="B220" s="14"/>
      <c r="C220" s="13"/>
      <c r="D220" s="13"/>
      <c r="E220" s="13"/>
      <c r="F220" s="13"/>
      <c r="G220" s="13"/>
      <c r="H220" s="13"/>
      <c r="I220" s="15"/>
      <c r="J220" s="15"/>
    </row>
    <row r="221" spans="1:10" x14ac:dyDescent="0.2">
      <c r="A221" s="13"/>
      <c r="B221" s="14"/>
      <c r="C221" s="13"/>
      <c r="D221" s="13"/>
      <c r="E221" s="13"/>
      <c r="F221" s="13"/>
      <c r="G221" s="13"/>
      <c r="H221" s="13"/>
      <c r="I221" s="15"/>
      <c r="J221" s="15"/>
    </row>
    <row r="222" spans="1:10" x14ac:dyDescent="0.2">
      <c r="A222" s="13"/>
      <c r="B222" s="14"/>
      <c r="C222" s="13"/>
      <c r="D222" s="13"/>
      <c r="E222" s="13"/>
      <c r="F222" s="13"/>
      <c r="G222" s="13"/>
      <c r="H222" s="13"/>
      <c r="I222" s="15"/>
      <c r="J222" s="15"/>
    </row>
    <row r="223" spans="1:10" x14ac:dyDescent="0.2">
      <c r="A223" s="13"/>
      <c r="B223" s="14"/>
      <c r="C223" s="13"/>
      <c r="D223" s="13"/>
      <c r="E223" s="13"/>
      <c r="F223" s="13"/>
      <c r="G223" s="13"/>
      <c r="H223" s="13"/>
      <c r="I223" s="15"/>
      <c r="J223" s="15"/>
    </row>
    <row r="224" spans="1:10" x14ac:dyDescent="0.2">
      <c r="A224" s="13"/>
      <c r="B224" s="14"/>
      <c r="C224" s="13"/>
      <c r="D224" s="13"/>
      <c r="E224" s="13"/>
      <c r="F224" s="13"/>
      <c r="G224" s="13"/>
      <c r="H224" s="13"/>
      <c r="I224" s="15"/>
      <c r="J224" s="15"/>
    </row>
    <row r="225" spans="1:10" x14ac:dyDescent="0.2">
      <c r="A225" s="13"/>
      <c r="B225" s="14"/>
      <c r="C225" s="13"/>
      <c r="D225" s="13"/>
      <c r="E225" s="13"/>
      <c r="F225" s="13"/>
      <c r="G225" s="13"/>
      <c r="H225" s="13"/>
      <c r="I225" s="15"/>
      <c r="J225" s="15"/>
    </row>
    <row r="226" spans="1:10" x14ac:dyDescent="0.2">
      <c r="A226" s="13"/>
      <c r="B226" s="14"/>
      <c r="C226" s="13"/>
      <c r="D226" s="13"/>
      <c r="E226" s="13"/>
      <c r="F226" s="13"/>
      <c r="G226" s="13"/>
      <c r="H226" s="13"/>
      <c r="I226" s="15"/>
      <c r="J226" s="15"/>
    </row>
    <row r="227" spans="1:10" x14ac:dyDescent="0.2">
      <c r="A227" s="13"/>
      <c r="B227" s="14"/>
      <c r="C227" s="13"/>
      <c r="D227" s="13"/>
      <c r="E227" s="13"/>
      <c r="F227" s="13"/>
      <c r="G227" s="13"/>
      <c r="H227" s="13"/>
      <c r="I227" s="15"/>
      <c r="J227" s="15"/>
    </row>
    <row r="228" spans="1:10" x14ac:dyDescent="0.2">
      <c r="A228" s="13"/>
      <c r="B228" s="14"/>
      <c r="C228" s="13"/>
      <c r="D228" s="13"/>
      <c r="E228" s="13"/>
      <c r="F228" s="13"/>
      <c r="G228" s="13"/>
      <c r="H228" s="13"/>
      <c r="I228" s="15"/>
      <c r="J228" s="15"/>
    </row>
    <row r="229" spans="1:10" x14ac:dyDescent="0.2">
      <c r="A229" s="13"/>
      <c r="B229" s="14"/>
      <c r="C229" s="13"/>
      <c r="D229" s="13"/>
      <c r="E229" s="13"/>
      <c r="F229" s="13"/>
      <c r="G229" s="13"/>
      <c r="H229" s="13"/>
      <c r="I229" s="15"/>
      <c r="J229" s="15"/>
    </row>
    <row r="230" spans="1:10" x14ac:dyDescent="0.2">
      <c r="A230" s="13"/>
      <c r="B230" s="14"/>
      <c r="C230" s="13"/>
      <c r="D230" s="13"/>
      <c r="E230" s="13"/>
      <c r="F230" s="13"/>
      <c r="G230" s="13"/>
      <c r="H230" s="13"/>
      <c r="I230" s="15"/>
      <c r="J230" s="15"/>
    </row>
    <row r="231" spans="1:10" hidden="1" x14ac:dyDescent="0.2">
      <c r="A231" s="13" t="s">
        <v>112</v>
      </c>
      <c r="B231" s="14" t="s">
        <v>121</v>
      </c>
      <c r="C231" s="13" t="s">
        <v>55</v>
      </c>
      <c r="D231" s="13" t="s">
        <v>16</v>
      </c>
      <c r="E231" s="13" t="s">
        <v>205</v>
      </c>
      <c r="F231" s="13" t="s">
        <v>189</v>
      </c>
      <c r="G231" s="13" t="s">
        <v>190</v>
      </c>
      <c r="H231" s="13" t="s">
        <v>264</v>
      </c>
      <c r="I231" s="15">
        <v>43134</v>
      </c>
      <c r="J231" s="15">
        <v>43135</v>
      </c>
    </row>
    <row r="232" spans="1:10" hidden="1" x14ac:dyDescent="0.2">
      <c r="A232" s="13" t="s">
        <v>109</v>
      </c>
      <c r="B232" s="14" t="s">
        <v>176</v>
      </c>
      <c r="C232" s="13" t="s">
        <v>177</v>
      </c>
      <c r="D232" s="13" t="s">
        <v>178</v>
      </c>
      <c r="E232" s="13" t="s">
        <v>205</v>
      </c>
      <c r="F232" s="13" t="s">
        <v>189</v>
      </c>
      <c r="G232" s="13" t="s">
        <v>190</v>
      </c>
      <c r="H232" s="13" t="s">
        <v>203</v>
      </c>
      <c r="I232" s="15">
        <v>43120</v>
      </c>
      <c r="J232" s="15">
        <v>43121</v>
      </c>
    </row>
    <row r="233" spans="1:10" hidden="1" x14ac:dyDescent="0.2">
      <c r="A233" s="13" t="s">
        <v>109</v>
      </c>
      <c r="B233" s="14" t="s">
        <v>117</v>
      </c>
      <c r="C233" s="13" t="s">
        <v>47</v>
      </c>
      <c r="D233" s="13" t="s">
        <v>23</v>
      </c>
      <c r="E233" s="13" t="s">
        <v>205</v>
      </c>
      <c r="F233" s="13" t="s">
        <v>189</v>
      </c>
      <c r="G233" s="13" t="s">
        <v>190</v>
      </c>
      <c r="H233" s="13" t="s">
        <v>203</v>
      </c>
      <c r="I233" s="15">
        <v>43120</v>
      </c>
      <c r="J233" s="15">
        <v>43121</v>
      </c>
    </row>
    <row r="234" spans="1:10" hidden="1" x14ac:dyDescent="0.2">
      <c r="A234" s="13" t="s">
        <v>110</v>
      </c>
      <c r="B234" s="14" t="s">
        <v>134</v>
      </c>
      <c r="C234" s="13" t="s">
        <v>59</v>
      </c>
      <c r="D234" s="13" t="s">
        <v>36</v>
      </c>
      <c r="E234" s="13" t="s">
        <v>205</v>
      </c>
      <c r="F234" s="13" t="s">
        <v>189</v>
      </c>
      <c r="G234" s="13" t="s">
        <v>190</v>
      </c>
      <c r="H234" s="13" t="s">
        <v>203</v>
      </c>
      <c r="I234" s="15">
        <v>43120</v>
      </c>
      <c r="J234" s="15">
        <v>43121</v>
      </c>
    </row>
    <row r="235" spans="1:10" hidden="1" x14ac:dyDescent="0.2">
      <c r="A235" s="13" t="s">
        <v>109</v>
      </c>
      <c r="B235" s="14" t="s">
        <v>116</v>
      </c>
      <c r="C235" s="13" t="s">
        <v>46</v>
      </c>
      <c r="D235" s="13" t="s">
        <v>26</v>
      </c>
      <c r="E235" s="13" t="s">
        <v>205</v>
      </c>
      <c r="F235" s="13" t="s">
        <v>189</v>
      </c>
      <c r="G235" s="13" t="s">
        <v>190</v>
      </c>
      <c r="H235" s="13" t="s">
        <v>245</v>
      </c>
      <c r="I235" s="15">
        <v>42756</v>
      </c>
      <c r="J235" s="15">
        <v>42757</v>
      </c>
    </row>
    <row r="236" spans="1:10" hidden="1" x14ac:dyDescent="0.2">
      <c r="A236" s="13" t="s">
        <v>110</v>
      </c>
      <c r="B236" s="14" t="s">
        <v>124</v>
      </c>
      <c r="C236" s="13" t="s">
        <v>21</v>
      </c>
      <c r="D236" s="13" t="s">
        <v>20</v>
      </c>
      <c r="E236" s="13" t="s">
        <v>205</v>
      </c>
      <c r="F236" s="13" t="s">
        <v>193</v>
      </c>
      <c r="G236" s="13" t="s">
        <v>190</v>
      </c>
      <c r="H236" s="13" t="s">
        <v>210</v>
      </c>
      <c r="I236" s="15">
        <v>42448</v>
      </c>
      <c r="J236" s="15">
        <v>42449</v>
      </c>
    </row>
    <row r="237" spans="1:10" hidden="1" x14ac:dyDescent="0.2">
      <c r="A237" s="13" t="s">
        <v>109</v>
      </c>
      <c r="B237" s="14" t="s">
        <v>176</v>
      </c>
      <c r="C237" s="13" t="s">
        <v>177</v>
      </c>
      <c r="D237" s="13" t="s">
        <v>178</v>
      </c>
      <c r="E237" s="13" t="s">
        <v>205</v>
      </c>
      <c r="F237" s="13" t="s">
        <v>193</v>
      </c>
      <c r="G237" s="13" t="s">
        <v>190</v>
      </c>
      <c r="H237" s="13" t="s">
        <v>210</v>
      </c>
      <c r="I237" s="15">
        <v>42448</v>
      </c>
      <c r="J237" s="15">
        <v>42449</v>
      </c>
    </row>
    <row r="238" spans="1:10" hidden="1" x14ac:dyDescent="0.2">
      <c r="A238" s="13" t="s">
        <v>109</v>
      </c>
      <c r="B238" s="14" t="s">
        <v>114</v>
      </c>
      <c r="C238" s="13" t="s">
        <v>39</v>
      </c>
      <c r="D238" s="13" t="s">
        <v>38</v>
      </c>
      <c r="E238" s="13" t="s">
        <v>205</v>
      </c>
      <c r="F238" s="13" t="s">
        <v>193</v>
      </c>
      <c r="G238" s="13" t="s">
        <v>190</v>
      </c>
      <c r="H238" s="13" t="s">
        <v>210</v>
      </c>
      <c r="I238" s="15">
        <v>42448</v>
      </c>
      <c r="J238" s="15">
        <v>42449</v>
      </c>
    </row>
    <row r="239" spans="1:10" hidden="1" x14ac:dyDescent="0.2">
      <c r="A239" s="13" t="s">
        <v>110</v>
      </c>
      <c r="B239" s="14" t="s">
        <v>123</v>
      </c>
      <c r="C239" s="13" t="s">
        <v>58</v>
      </c>
      <c r="D239" s="13" t="s">
        <v>31</v>
      </c>
      <c r="E239" s="13" t="s">
        <v>25</v>
      </c>
      <c r="F239" s="13" t="s">
        <v>193</v>
      </c>
      <c r="G239" s="13" t="s">
        <v>190</v>
      </c>
      <c r="H239" s="13" t="s">
        <v>194</v>
      </c>
      <c r="I239" s="15">
        <v>42441</v>
      </c>
      <c r="J239" s="15">
        <v>42442</v>
      </c>
    </row>
    <row r="240" spans="1:10" x14ac:dyDescent="0.2">
      <c r="A240" s="13"/>
      <c r="B240" s="14"/>
      <c r="C240" s="13"/>
      <c r="D240" s="13"/>
      <c r="E240" s="13"/>
      <c r="F240" s="13"/>
      <c r="G240" s="13"/>
      <c r="H240" s="13"/>
      <c r="I240" s="15"/>
      <c r="J240" s="15"/>
    </row>
    <row r="241" spans="1:10" x14ac:dyDescent="0.2">
      <c r="A241" s="13"/>
      <c r="B241" s="14"/>
      <c r="C241" s="13"/>
      <c r="D241" s="13"/>
      <c r="E241" s="13"/>
      <c r="F241" s="13"/>
      <c r="G241" s="13"/>
      <c r="H241" s="13"/>
      <c r="I241" s="15"/>
      <c r="J241" s="15"/>
    </row>
    <row r="242" spans="1:10" x14ac:dyDescent="0.2">
      <c r="A242" s="13"/>
      <c r="B242" s="14"/>
      <c r="C242" s="13"/>
      <c r="D242" s="13"/>
      <c r="E242" s="13"/>
      <c r="F242" s="13"/>
      <c r="G242" s="13"/>
      <c r="H242" s="13"/>
      <c r="I242" s="15"/>
      <c r="J242" s="15"/>
    </row>
    <row r="243" spans="1:10" x14ac:dyDescent="0.2">
      <c r="A243" s="13"/>
      <c r="B243" s="14"/>
      <c r="C243" s="13"/>
      <c r="D243" s="13"/>
      <c r="E243" s="13"/>
      <c r="F243" s="13"/>
      <c r="G243" s="13"/>
      <c r="H243" s="13"/>
      <c r="I243" s="15"/>
      <c r="J243" s="15"/>
    </row>
    <row r="244" spans="1:10" x14ac:dyDescent="0.2">
      <c r="A244" s="13"/>
      <c r="B244" s="14"/>
      <c r="C244" s="13"/>
      <c r="D244" s="13"/>
      <c r="E244" s="13"/>
      <c r="F244" s="13"/>
      <c r="G244" s="13"/>
      <c r="H244" s="13"/>
      <c r="I244" s="15"/>
      <c r="J244" s="15"/>
    </row>
    <row r="245" spans="1:10" x14ac:dyDescent="0.2">
      <c r="A245" s="13"/>
      <c r="B245" s="14"/>
      <c r="C245" s="13"/>
      <c r="D245" s="13"/>
      <c r="E245" s="13"/>
      <c r="F245" s="13"/>
      <c r="G245" s="13"/>
      <c r="H245" s="13"/>
      <c r="I245" s="15"/>
      <c r="J245" s="15"/>
    </row>
    <row r="246" spans="1:10" x14ac:dyDescent="0.2">
      <c r="A246" s="13"/>
      <c r="B246" s="14"/>
      <c r="C246" s="13"/>
      <c r="D246" s="13"/>
      <c r="E246" s="13"/>
      <c r="F246" s="13"/>
      <c r="G246" s="13"/>
      <c r="H246" s="13"/>
      <c r="I246" s="15"/>
      <c r="J246" s="15"/>
    </row>
    <row r="247" spans="1:10" x14ac:dyDescent="0.2">
      <c r="A247" s="13"/>
      <c r="B247" s="14"/>
      <c r="C247" s="13"/>
      <c r="D247" s="13"/>
      <c r="E247" s="13"/>
      <c r="F247" s="13"/>
      <c r="G247" s="13"/>
      <c r="H247" s="13"/>
      <c r="I247" s="15"/>
      <c r="J247" s="15"/>
    </row>
    <row r="248" spans="1:10" x14ac:dyDescent="0.2">
      <c r="A248" s="13"/>
      <c r="B248" s="14"/>
      <c r="C248" s="13"/>
      <c r="D248" s="13"/>
      <c r="E248" s="13"/>
      <c r="F248" s="13"/>
      <c r="G248" s="13"/>
      <c r="H248" s="13"/>
      <c r="I248" s="15"/>
      <c r="J248" s="15"/>
    </row>
    <row r="249" spans="1:10" x14ac:dyDescent="0.2">
      <c r="A249" s="13"/>
      <c r="B249" s="14"/>
      <c r="C249" s="13"/>
      <c r="D249" s="13"/>
      <c r="E249" s="13"/>
      <c r="F249" s="13"/>
      <c r="G249" s="13"/>
      <c r="H249" s="13"/>
      <c r="I249" s="15"/>
      <c r="J249" s="15"/>
    </row>
    <row r="250" spans="1:10" x14ac:dyDescent="0.2">
      <c r="A250" s="13"/>
      <c r="B250" s="14"/>
      <c r="C250" s="13"/>
      <c r="D250" s="13"/>
      <c r="E250" s="13"/>
      <c r="F250" s="13"/>
      <c r="G250" s="13"/>
      <c r="H250" s="13"/>
      <c r="I250" s="15"/>
      <c r="J250" s="15"/>
    </row>
    <row r="251" spans="1:10" x14ac:dyDescent="0.2">
      <c r="A251" s="13"/>
      <c r="B251" s="14"/>
      <c r="C251" s="13"/>
      <c r="D251" s="13"/>
      <c r="E251" s="13"/>
      <c r="F251" s="13"/>
      <c r="G251" s="13"/>
      <c r="H251" s="13"/>
      <c r="I251" s="15"/>
      <c r="J251" s="15"/>
    </row>
    <row r="252" spans="1:10" x14ac:dyDescent="0.2">
      <c r="A252" s="13"/>
      <c r="B252" s="14"/>
      <c r="C252" s="13"/>
      <c r="D252" s="13"/>
      <c r="E252" s="13"/>
      <c r="F252" s="13"/>
      <c r="G252" s="13"/>
      <c r="H252" s="13"/>
      <c r="I252" s="15"/>
      <c r="J252" s="15"/>
    </row>
    <row r="253" spans="1:10" x14ac:dyDescent="0.2">
      <c r="A253" s="13"/>
      <c r="B253" s="14"/>
      <c r="C253" s="13"/>
      <c r="D253" s="13"/>
      <c r="E253" s="13"/>
      <c r="F253" s="13"/>
      <c r="G253" s="13"/>
      <c r="H253" s="13"/>
      <c r="I253" s="15"/>
      <c r="J253" s="15"/>
    </row>
    <row r="254" spans="1:10" x14ac:dyDescent="0.2">
      <c r="A254" s="13"/>
      <c r="B254" s="14"/>
      <c r="C254" s="13"/>
      <c r="D254" s="13"/>
      <c r="E254" s="13"/>
      <c r="F254" s="13"/>
      <c r="G254" s="13"/>
      <c r="H254" s="13"/>
      <c r="I254" s="15"/>
      <c r="J254" s="15"/>
    </row>
    <row r="255" spans="1:10" x14ac:dyDescent="0.2">
      <c r="A255" s="13"/>
      <c r="B255" s="14"/>
      <c r="C255" s="13"/>
      <c r="D255" s="13"/>
      <c r="E255" s="13"/>
      <c r="F255" s="13"/>
      <c r="G255" s="13"/>
      <c r="H255" s="13"/>
      <c r="I255" s="15"/>
      <c r="J255" s="15"/>
    </row>
    <row r="256" spans="1:10" x14ac:dyDescent="0.2">
      <c r="A256" s="13"/>
      <c r="B256" s="14"/>
      <c r="C256" s="13"/>
      <c r="D256" s="13"/>
      <c r="E256" s="13"/>
      <c r="F256" s="13"/>
      <c r="G256" s="13"/>
      <c r="H256" s="13"/>
      <c r="I256" s="15"/>
      <c r="J256" s="15"/>
    </row>
    <row r="257" spans="1:10" x14ac:dyDescent="0.2">
      <c r="A257" s="13"/>
      <c r="B257" s="14"/>
      <c r="C257" s="13"/>
      <c r="D257" s="13"/>
      <c r="E257" s="13"/>
      <c r="F257" s="13"/>
      <c r="G257" s="13"/>
      <c r="H257" s="13"/>
      <c r="I257" s="15"/>
      <c r="J257" s="15"/>
    </row>
    <row r="258" spans="1:10" x14ac:dyDescent="0.2">
      <c r="A258" s="13"/>
      <c r="B258" s="14"/>
      <c r="C258" s="13"/>
      <c r="D258" s="13"/>
      <c r="E258" s="13"/>
      <c r="F258" s="13"/>
      <c r="G258" s="13"/>
      <c r="H258" s="13"/>
      <c r="I258" s="15"/>
      <c r="J258" s="15"/>
    </row>
    <row r="259" spans="1:10" x14ac:dyDescent="0.2">
      <c r="A259" s="13"/>
      <c r="B259" s="14"/>
      <c r="C259" s="13"/>
      <c r="D259" s="13"/>
      <c r="E259" s="13"/>
      <c r="F259" s="13"/>
      <c r="G259" s="13"/>
      <c r="H259" s="13"/>
      <c r="I259" s="15"/>
      <c r="J259" s="15"/>
    </row>
    <row r="260" spans="1:10" x14ac:dyDescent="0.2">
      <c r="A260" s="13"/>
      <c r="B260" s="14"/>
      <c r="C260" s="13"/>
      <c r="D260" s="13"/>
      <c r="E260" s="13"/>
      <c r="F260" s="13"/>
      <c r="G260" s="13"/>
      <c r="H260" s="13"/>
      <c r="I260" s="15"/>
      <c r="J260" s="15"/>
    </row>
    <row r="261" spans="1:10" x14ac:dyDescent="0.2">
      <c r="A261" s="13"/>
      <c r="B261" s="14"/>
      <c r="C261" s="13"/>
      <c r="D261" s="13"/>
      <c r="E261" s="13"/>
      <c r="F261" s="13"/>
      <c r="G261" s="13"/>
      <c r="H261" s="13"/>
      <c r="I261" s="15"/>
      <c r="J261" s="15"/>
    </row>
    <row r="262" spans="1:10" x14ac:dyDescent="0.2">
      <c r="A262" s="13"/>
      <c r="B262" s="14"/>
      <c r="C262" s="13"/>
      <c r="D262" s="13"/>
      <c r="E262" s="13"/>
      <c r="F262" s="13"/>
      <c r="G262" s="13"/>
      <c r="H262" s="13"/>
      <c r="I262" s="15"/>
      <c r="J262" s="15"/>
    </row>
    <row r="263" spans="1:10" x14ac:dyDescent="0.2">
      <c r="A263" s="13"/>
      <c r="B263" s="14"/>
      <c r="C263" s="13"/>
      <c r="D263" s="13"/>
      <c r="E263" s="13"/>
      <c r="F263" s="13"/>
      <c r="G263" s="13"/>
      <c r="H263" s="13"/>
      <c r="I263" s="15"/>
      <c r="J263" s="15"/>
    </row>
    <row r="264" spans="1:10" x14ac:dyDescent="0.2">
      <c r="A264" s="13"/>
      <c r="B264" s="14"/>
      <c r="C264" s="13"/>
      <c r="D264" s="13"/>
      <c r="E264" s="13"/>
      <c r="F264" s="13"/>
      <c r="G264" s="13"/>
      <c r="H264" s="13"/>
      <c r="I264" s="15"/>
      <c r="J264" s="15"/>
    </row>
    <row r="265" spans="1:10" x14ac:dyDescent="0.2">
      <c r="A265" s="13"/>
      <c r="B265" s="14"/>
      <c r="C265" s="13"/>
      <c r="D265" s="13"/>
      <c r="E265" s="13"/>
      <c r="F265" s="13"/>
      <c r="G265" s="13"/>
      <c r="H265" s="13"/>
      <c r="I265" s="15"/>
      <c r="J265" s="15"/>
    </row>
    <row r="266" spans="1:10" x14ac:dyDescent="0.2">
      <c r="A266" s="13"/>
      <c r="B266" s="14"/>
      <c r="C266" s="13"/>
      <c r="D266" s="13"/>
      <c r="E266" s="13"/>
      <c r="F266" s="13"/>
      <c r="G266" s="13"/>
      <c r="H266" s="13"/>
      <c r="I266" s="15"/>
      <c r="J266" s="15"/>
    </row>
    <row r="267" spans="1:10" x14ac:dyDescent="0.2">
      <c r="A267" s="13"/>
      <c r="B267" s="14"/>
      <c r="C267" s="13"/>
      <c r="D267" s="13"/>
      <c r="E267" s="13"/>
      <c r="F267" s="13"/>
      <c r="G267" s="13"/>
      <c r="H267" s="13"/>
      <c r="I267" s="15"/>
      <c r="J267" s="15"/>
    </row>
    <row r="268" spans="1:10" x14ac:dyDescent="0.2">
      <c r="A268" s="13"/>
      <c r="B268" s="14"/>
      <c r="C268" s="13"/>
      <c r="D268" s="13"/>
      <c r="E268" s="13"/>
      <c r="F268" s="13"/>
      <c r="G268" s="13"/>
      <c r="H268" s="13"/>
      <c r="I268" s="15"/>
      <c r="J268" s="15"/>
    </row>
    <row r="269" spans="1:10" x14ac:dyDescent="0.2">
      <c r="A269" s="13"/>
      <c r="B269" s="14"/>
      <c r="C269" s="13"/>
      <c r="D269" s="13"/>
      <c r="E269" s="13"/>
      <c r="F269" s="13"/>
      <c r="G269" s="13"/>
      <c r="H269" s="13"/>
      <c r="I269" s="15"/>
      <c r="J269" s="15"/>
    </row>
    <row r="270" spans="1:10" x14ac:dyDescent="0.2">
      <c r="A270" s="13"/>
      <c r="B270" s="14"/>
      <c r="C270" s="13"/>
      <c r="D270" s="13"/>
      <c r="E270" s="13"/>
      <c r="F270" s="13"/>
      <c r="G270" s="13"/>
      <c r="H270" s="13"/>
      <c r="I270" s="15"/>
      <c r="J270" s="15"/>
    </row>
    <row r="271" spans="1:10" x14ac:dyDescent="0.2">
      <c r="A271" s="13"/>
      <c r="B271" s="14"/>
      <c r="C271" s="13"/>
      <c r="D271" s="13"/>
      <c r="E271" s="13"/>
      <c r="F271" s="13"/>
      <c r="G271" s="13"/>
      <c r="H271" s="13"/>
      <c r="I271" s="15"/>
      <c r="J271" s="15"/>
    </row>
    <row r="272" spans="1:10" x14ac:dyDescent="0.2">
      <c r="A272" s="13"/>
      <c r="B272" s="14"/>
      <c r="C272" s="13"/>
      <c r="D272" s="13"/>
      <c r="E272" s="13"/>
      <c r="F272" s="13"/>
      <c r="G272" s="13"/>
      <c r="H272" s="13"/>
      <c r="I272" s="15"/>
      <c r="J272" s="15"/>
    </row>
    <row r="273" spans="1:10" x14ac:dyDescent="0.2">
      <c r="A273" s="13"/>
      <c r="B273" s="14"/>
      <c r="C273" s="13"/>
      <c r="D273" s="13"/>
      <c r="E273" s="13"/>
      <c r="F273" s="13"/>
      <c r="G273" s="13"/>
      <c r="H273" s="13"/>
      <c r="I273" s="15"/>
      <c r="J273" s="15"/>
    </row>
    <row r="274" spans="1:10" x14ac:dyDescent="0.2">
      <c r="A274" s="13"/>
      <c r="B274" s="14"/>
      <c r="C274" s="13"/>
      <c r="D274" s="13"/>
      <c r="E274" s="13"/>
      <c r="F274" s="13"/>
      <c r="G274" s="13"/>
      <c r="H274" s="13"/>
      <c r="I274" s="15"/>
      <c r="J274" s="15"/>
    </row>
    <row r="275" spans="1:10" x14ac:dyDescent="0.2">
      <c r="A275" s="13"/>
      <c r="B275" s="14"/>
      <c r="C275" s="13"/>
      <c r="D275" s="13"/>
      <c r="E275" s="13"/>
      <c r="F275" s="13"/>
      <c r="G275" s="13"/>
      <c r="H275" s="13"/>
      <c r="I275" s="15"/>
      <c r="J275" s="15"/>
    </row>
    <row r="276" spans="1:10" x14ac:dyDescent="0.2">
      <c r="A276" s="13"/>
      <c r="B276" s="14"/>
      <c r="C276" s="13"/>
      <c r="D276" s="13"/>
      <c r="E276" s="13"/>
      <c r="F276" s="13"/>
      <c r="G276" s="13"/>
      <c r="H276" s="13"/>
      <c r="I276" s="15"/>
      <c r="J276" s="15"/>
    </row>
    <row r="277" spans="1:10" x14ac:dyDescent="0.2">
      <c r="A277" s="13"/>
      <c r="B277" s="14"/>
      <c r="C277" s="13"/>
      <c r="D277" s="13"/>
      <c r="E277" s="13"/>
      <c r="F277" s="13"/>
      <c r="G277" s="13"/>
      <c r="H277" s="13"/>
      <c r="I277" s="15"/>
      <c r="J277" s="15"/>
    </row>
    <row r="278" spans="1:10" x14ac:dyDescent="0.2">
      <c r="A278" s="13"/>
      <c r="B278" s="14"/>
      <c r="C278" s="13"/>
      <c r="D278" s="13"/>
      <c r="E278" s="13"/>
      <c r="F278" s="13"/>
      <c r="G278" s="13"/>
      <c r="H278" s="13"/>
      <c r="I278" s="15"/>
      <c r="J278" s="15"/>
    </row>
    <row r="279" spans="1:10" hidden="1" x14ac:dyDescent="0.2">
      <c r="A279" s="13" t="s">
        <v>112</v>
      </c>
      <c r="B279" s="14" t="s">
        <v>126</v>
      </c>
      <c r="C279" s="13" t="s">
        <v>33</v>
      </c>
      <c r="D279" s="13" t="s">
        <v>32</v>
      </c>
      <c r="E279" s="13" t="s">
        <v>205</v>
      </c>
      <c r="F279" s="13" t="s">
        <v>191</v>
      </c>
      <c r="G279" s="13" t="s">
        <v>192</v>
      </c>
      <c r="H279" s="13" t="s">
        <v>213</v>
      </c>
      <c r="I279" s="15">
        <v>43072</v>
      </c>
      <c r="J279" s="15">
        <v>43072</v>
      </c>
    </row>
    <row r="280" spans="1:10" hidden="1" x14ac:dyDescent="0.2">
      <c r="A280" s="13" t="s">
        <v>109</v>
      </c>
      <c r="B280" s="14" t="s">
        <v>114</v>
      </c>
      <c r="C280" s="13" t="s">
        <v>39</v>
      </c>
      <c r="D280" s="13" t="s">
        <v>38</v>
      </c>
      <c r="E280" s="13" t="s">
        <v>205</v>
      </c>
      <c r="F280" s="13" t="s">
        <v>191</v>
      </c>
      <c r="G280" s="13" t="s">
        <v>192</v>
      </c>
      <c r="H280" s="13" t="s">
        <v>213</v>
      </c>
      <c r="I280" s="15">
        <v>43072</v>
      </c>
      <c r="J280" s="15">
        <v>43072</v>
      </c>
    </row>
    <row r="281" spans="1:10" hidden="1" x14ac:dyDescent="0.2">
      <c r="A281" s="13" t="s">
        <v>109</v>
      </c>
      <c r="B281" s="14" t="s">
        <v>117</v>
      </c>
      <c r="C281" s="13" t="s">
        <v>47</v>
      </c>
      <c r="D281" s="13" t="s">
        <v>23</v>
      </c>
      <c r="E281" s="13" t="s">
        <v>205</v>
      </c>
      <c r="F281" s="13" t="s">
        <v>191</v>
      </c>
      <c r="G281" s="13" t="s">
        <v>192</v>
      </c>
      <c r="H281" s="13" t="s">
        <v>213</v>
      </c>
      <c r="I281" s="15">
        <v>43072</v>
      </c>
      <c r="J281" s="15">
        <v>43072</v>
      </c>
    </row>
    <row r="282" spans="1:10" hidden="1" x14ac:dyDescent="0.2">
      <c r="A282" s="13" t="s">
        <v>109</v>
      </c>
      <c r="B282" s="14" t="s">
        <v>132</v>
      </c>
      <c r="C282" s="13" t="s">
        <v>52</v>
      </c>
      <c r="D282" s="13" t="s">
        <v>51</v>
      </c>
      <c r="E282" s="13" t="s">
        <v>205</v>
      </c>
      <c r="F282" s="13" t="s">
        <v>191</v>
      </c>
      <c r="G282" s="13" t="s">
        <v>192</v>
      </c>
      <c r="H282" s="13" t="s">
        <v>213</v>
      </c>
      <c r="I282" s="15">
        <v>43072</v>
      </c>
      <c r="J282" s="15">
        <v>43072</v>
      </c>
    </row>
    <row r="283" spans="1:10" hidden="1" x14ac:dyDescent="0.2">
      <c r="A283" s="13" t="s">
        <v>110</v>
      </c>
      <c r="B283" s="14" t="s">
        <v>123</v>
      </c>
      <c r="C283" s="13" t="s">
        <v>58</v>
      </c>
      <c r="D283" s="13" t="s">
        <v>31</v>
      </c>
      <c r="E283" s="13" t="s">
        <v>205</v>
      </c>
      <c r="F283" s="13" t="s">
        <v>191</v>
      </c>
      <c r="G283" s="13" t="s">
        <v>192</v>
      </c>
      <c r="H283" s="13" t="s">
        <v>213</v>
      </c>
      <c r="I283" s="15">
        <v>43072</v>
      </c>
      <c r="J283" s="15">
        <v>43072</v>
      </c>
    </row>
    <row r="284" spans="1:10" hidden="1" x14ac:dyDescent="0.2">
      <c r="A284" s="13" t="s">
        <v>109</v>
      </c>
      <c r="B284" s="14" t="s">
        <v>176</v>
      </c>
      <c r="C284" s="13" t="s">
        <v>177</v>
      </c>
      <c r="D284" s="13" t="s">
        <v>178</v>
      </c>
      <c r="E284" s="13" t="s">
        <v>205</v>
      </c>
      <c r="F284" s="13" t="s">
        <v>191</v>
      </c>
      <c r="G284" s="13" t="s">
        <v>192</v>
      </c>
      <c r="H284" s="13" t="s">
        <v>195</v>
      </c>
      <c r="I284" s="15">
        <v>42750</v>
      </c>
      <c r="J284" s="15">
        <v>42750</v>
      </c>
    </row>
    <row r="285" spans="1:10" hidden="1" x14ac:dyDescent="0.2">
      <c r="A285" s="13" t="s">
        <v>109</v>
      </c>
      <c r="B285" s="14" t="s">
        <v>114</v>
      </c>
      <c r="C285" s="13" t="s">
        <v>39</v>
      </c>
      <c r="D285" s="13" t="s">
        <v>38</v>
      </c>
      <c r="E285" s="13" t="s">
        <v>205</v>
      </c>
      <c r="F285" s="13" t="s">
        <v>191</v>
      </c>
      <c r="G285" s="13" t="s">
        <v>192</v>
      </c>
      <c r="H285" s="13" t="s">
        <v>195</v>
      </c>
      <c r="I285" s="15">
        <v>42750</v>
      </c>
      <c r="J285" s="15">
        <v>42750</v>
      </c>
    </row>
    <row r="286" spans="1:10" hidden="1" x14ac:dyDescent="0.2">
      <c r="A286" s="13" t="s">
        <v>109</v>
      </c>
      <c r="B286" s="14" t="s">
        <v>116</v>
      </c>
      <c r="C286" s="13" t="s">
        <v>46</v>
      </c>
      <c r="D286" s="13" t="s">
        <v>26</v>
      </c>
      <c r="E286" s="13" t="s">
        <v>205</v>
      </c>
      <c r="F286" s="13" t="s">
        <v>191</v>
      </c>
      <c r="G286" s="13" t="s">
        <v>192</v>
      </c>
      <c r="H286" s="13" t="s">
        <v>195</v>
      </c>
      <c r="I286" s="15">
        <v>42750</v>
      </c>
      <c r="J286" s="15">
        <v>42750</v>
      </c>
    </row>
    <row r="287" spans="1:10" hidden="1" x14ac:dyDescent="0.2">
      <c r="A287" s="13" t="s">
        <v>110</v>
      </c>
      <c r="B287" s="14" t="s">
        <v>120</v>
      </c>
      <c r="C287" s="13" t="s">
        <v>54</v>
      </c>
      <c r="D287" s="13" t="s">
        <v>53</v>
      </c>
      <c r="E287" s="13" t="s">
        <v>205</v>
      </c>
      <c r="F287" s="13" t="s">
        <v>191</v>
      </c>
      <c r="G287" s="13" t="s">
        <v>192</v>
      </c>
      <c r="H287" s="13" t="s">
        <v>195</v>
      </c>
      <c r="I287" s="15">
        <v>42750</v>
      </c>
      <c r="J287" s="15">
        <v>42750</v>
      </c>
    </row>
    <row r="288" spans="1:10" hidden="1" x14ac:dyDescent="0.2">
      <c r="A288" s="13" t="s">
        <v>109</v>
      </c>
      <c r="B288" s="14" t="s">
        <v>114</v>
      </c>
      <c r="C288" s="13" t="s">
        <v>39</v>
      </c>
      <c r="D288" s="13" t="s">
        <v>38</v>
      </c>
      <c r="E288" s="13" t="s">
        <v>205</v>
      </c>
      <c r="F288" s="13" t="s">
        <v>189</v>
      </c>
      <c r="G288" s="13" t="s">
        <v>192</v>
      </c>
      <c r="H288" s="13" t="s">
        <v>209</v>
      </c>
      <c r="I288" s="15">
        <v>42707</v>
      </c>
      <c r="J288" s="15">
        <v>42708</v>
      </c>
    </row>
    <row r="289" spans="1:10" hidden="1" x14ac:dyDescent="0.2">
      <c r="A289" s="13" t="s">
        <v>109</v>
      </c>
      <c r="B289" s="14" t="s">
        <v>132</v>
      </c>
      <c r="C289" s="13" t="s">
        <v>52</v>
      </c>
      <c r="D289" s="13" t="s">
        <v>51</v>
      </c>
      <c r="E289" s="13" t="s">
        <v>205</v>
      </c>
      <c r="F289" s="13" t="s">
        <v>189</v>
      </c>
      <c r="G289" s="13" t="s">
        <v>192</v>
      </c>
      <c r="H289" s="13" t="s">
        <v>209</v>
      </c>
      <c r="I289" s="15">
        <v>42707</v>
      </c>
      <c r="J289" s="15">
        <v>42708</v>
      </c>
    </row>
    <row r="290" spans="1:10" hidden="1" x14ac:dyDescent="0.2">
      <c r="A290" s="13" t="s">
        <v>110</v>
      </c>
      <c r="B290" s="14" t="s">
        <v>123</v>
      </c>
      <c r="C290" s="13" t="s">
        <v>58</v>
      </c>
      <c r="D290" s="13" t="s">
        <v>31</v>
      </c>
      <c r="E290" s="13" t="s">
        <v>205</v>
      </c>
      <c r="F290" s="13" t="s">
        <v>189</v>
      </c>
      <c r="G290" s="13" t="s">
        <v>192</v>
      </c>
      <c r="H290" s="13" t="s">
        <v>269</v>
      </c>
      <c r="I290" s="15">
        <v>42406</v>
      </c>
      <c r="J290" s="15">
        <v>42407</v>
      </c>
    </row>
    <row r="291" spans="1:10" hidden="1" x14ac:dyDescent="0.2">
      <c r="A291" s="13" t="s">
        <v>110</v>
      </c>
      <c r="B291" s="14" t="s">
        <v>124</v>
      </c>
      <c r="C291" s="13" t="s">
        <v>21</v>
      </c>
      <c r="D291" s="13" t="s">
        <v>20</v>
      </c>
      <c r="E291" s="13" t="s">
        <v>25</v>
      </c>
      <c r="F291" s="13" t="s">
        <v>191</v>
      </c>
      <c r="G291" s="13" t="s">
        <v>192</v>
      </c>
      <c r="H291" s="13" t="s">
        <v>213</v>
      </c>
      <c r="I291" s="15">
        <v>43072</v>
      </c>
      <c r="J291" s="15">
        <v>43072</v>
      </c>
    </row>
    <row r="292" spans="1:10" hidden="1" x14ac:dyDescent="0.2">
      <c r="A292" s="13" t="s">
        <v>110</v>
      </c>
      <c r="B292" s="14" t="s">
        <v>124</v>
      </c>
      <c r="C292" s="13" t="s">
        <v>21</v>
      </c>
      <c r="D292" s="13" t="s">
        <v>20</v>
      </c>
      <c r="E292" s="13" t="s">
        <v>25</v>
      </c>
      <c r="F292" s="13" t="s">
        <v>191</v>
      </c>
      <c r="G292" s="13" t="s">
        <v>192</v>
      </c>
      <c r="H292" s="13" t="s">
        <v>195</v>
      </c>
      <c r="I292" s="15">
        <v>42750</v>
      </c>
      <c r="J292" s="15">
        <v>42750</v>
      </c>
    </row>
    <row r="293" spans="1:10" hidden="1" x14ac:dyDescent="0.2">
      <c r="A293" s="13" t="s">
        <v>110</v>
      </c>
      <c r="B293" s="14" t="s">
        <v>124</v>
      </c>
      <c r="C293" s="13" t="s">
        <v>21</v>
      </c>
      <c r="D293" s="13" t="s">
        <v>20</v>
      </c>
      <c r="E293" s="13" t="s">
        <v>25</v>
      </c>
      <c r="F293" s="13" t="s">
        <v>189</v>
      </c>
      <c r="G293" s="13" t="s">
        <v>192</v>
      </c>
      <c r="H293" s="13" t="s">
        <v>209</v>
      </c>
      <c r="I293" s="15">
        <v>42707</v>
      </c>
      <c r="J293" s="15">
        <v>42708</v>
      </c>
    </row>
    <row r="294" spans="1:10" hidden="1" x14ac:dyDescent="0.2">
      <c r="A294" s="13" t="s">
        <v>110</v>
      </c>
      <c r="B294" s="14" t="s">
        <v>123</v>
      </c>
      <c r="C294" s="13" t="s">
        <v>58</v>
      </c>
      <c r="D294" s="13" t="s">
        <v>31</v>
      </c>
      <c r="E294" s="13" t="s">
        <v>25</v>
      </c>
      <c r="F294" s="13" t="s">
        <v>189</v>
      </c>
      <c r="G294" s="13" t="s">
        <v>192</v>
      </c>
      <c r="H294" s="13" t="s">
        <v>271</v>
      </c>
      <c r="I294" s="15">
        <v>42686</v>
      </c>
      <c r="J294" s="15">
        <v>42687</v>
      </c>
    </row>
    <row r="295" spans="1:10" x14ac:dyDescent="0.2">
      <c r="A295" s="13"/>
      <c r="B295" s="14"/>
      <c r="C295" s="13"/>
      <c r="D295" s="13"/>
      <c r="E295" s="13"/>
      <c r="F295" s="13"/>
      <c r="G295" s="13"/>
      <c r="H295" s="13"/>
      <c r="I295" s="15"/>
      <c r="J295" s="15"/>
    </row>
    <row r="296" spans="1:10" x14ac:dyDescent="0.2">
      <c r="A296" s="13"/>
      <c r="B296" s="14"/>
      <c r="C296" s="13"/>
      <c r="D296" s="13"/>
      <c r="E296" s="13"/>
      <c r="F296" s="13"/>
      <c r="G296" s="13"/>
      <c r="H296" s="13"/>
      <c r="I296" s="15"/>
      <c r="J296" s="15"/>
    </row>
    <row r="297" spans="1:10" x14ac:dyDescent="0.2">
      <c r="A297" s="13"/>
      <c r="B297" s="14"/>
      <c r="C297" s="13"/>
      <c r="D297" s="13"/>
      <c r="E297" s="13"/>
      <c r="F297" s="13"/>
      <c r="G297" s="13"/>
      <c r="H297" s="13"/>
      <c r="I297" s="15"/>
      <c r="J297" s="15"/>
    </row>
    <row r="298" spans="1:10" x14ac:dyDescent="0.2">
      <c r="A298" s="13"/>
      <c r="B298" s="14"/>
      <c r="C298" s="13"/>
      <c r="D298" s="13"/>
      <c r="E298" s="13"/>
      <c r="F298" s="13"/>
      <c r="G298" s="13"/>
      <c r="H298" s="13"/>
      <c r="I298" s="15"/>
      <c r="J298" s="15"/>
    </row>
    <row r="299" spans="1:10" x14ac:dyDescent="0.2">
      <c r="A299" s="13"/>
      <c r="B299" s="14"/>
      <c r="C299" s="13"/>
      <c r="D299" s="13"/>
      <c r="E299" s="13"/>
      <c r="F299" s="13"/>
      <c r="G299" s="13"/>
      <c r="H299" s="13"/>
      <c r="I299" s="15"/>
      <c r="J299" s="15"/>
    </row>
    <row r="300" spans="1:10" x14ac:dyDescent="0.2">
      <c r="A300" s="13"/>
      <c r="B300" s="14"/>
      <c r="C300" s="13"/>
      <c r="D300" s="13"/>
      <c r="E300" s="13"/>
      <c r="F300" s="13"/>
      <c r="G300" s="13"/>
      <c r="H300" s="13"/>
      <c r="I300" s="15"/>
      <c r="J300" s="15"/>
    </row>
    <row r="301" spans="1:10" x14ac:dyDescent="0.2">
      <c r="A301" s="13"/>
      <c r="B301" s="14"/>
      <c r="C301" s="13"/>
      <c r="D301" s="13"/>
      <c r="E301" s="13"/>
      <c r="F301" s="13"/>
      <c r="G301" s="13"/>
      <c r="H301" s="13"/>
      <c r="I301" s="15"/>
      <c r="J301" s="15"/>
    </row>
    <row r="302" spans="1:10" x14ac:dyDescent="0.2">
      <c r="A302" s="13"/>
      <c r="B302" s="14"/>
      <c r="C302" s="13"/>
      <c r="D302" s="13"/>
      <c r="E302" s="13"/>
      <c r="F302" s="13"/>
      <c r="G302" s="13"/>
      <c r="H302" s="13"/>
      <c r="I302" s="15"/>
      <c r="J302" s="15"/>
    </row>
    <row r="303" spans="1:10" x14ac:dyDescent="0.2">
      <c r="A303" s="13"/>
      <c r="B303" s="14"/>
      <c r="C303" s="13"/>
      <c r="D303" s="13"/>
      <c r="E303" s="13"/>
      <c r="F303" s="13"/>
      <c r="G303" s="13"/>
      <c r="H303" s="13"/>
      <c r="I303" s="15"/>
      <c r="J303" s="15"/>
    </row>
    <row r="304" spans="1:10" x14ac:dyDescent="0.2">
      <c r="A304" s="13"/>
      <c r="B304" s="14"/>
      <c r="C304" s="13"/>
      <c r="D304" s="13"/>
      <c r="E304" s="13"/>
      <c r="F304" s="13"/>
      <c r="G304" s="13"/>
      <c r="H304" s="13"/>
      <c r="I304" s="15"/>
      <c r="J304" s="15"/>
    </row>
    <row r="305" spans="1:10" x14ac:dyDescent="0.2">
      <c r="A305" s="13"/>
      <c r="B305" s="14"/>
      <c r="C305" s="13"/>
      <c r="D305" s="13"/>
      <c r="E305" s="13"/>
      <c r="F305" s="13"/>
      <c r="G305" s="13"/>
      <c r="H305" s="13"/>
      <c r="I305" s="15"/>
      <c r="J305" s="15"/>
    </row>
    <row r="306" spans="1:10" x14ac:dyDescent="0.2">
      <c r="A306" s="13"/>
      <c r="B306" s="14"/>
      <c r="C306" s="13"/>
      <c r="D306" s="13"/>
      <c r="E306" s="13"/>
      <c r="F306" s="13"/>
      <c r="G306" s="13"/>
      <c r="H306" s="13"/>
      <c r="I306" s="15"/>
      <c r="J306" s="15"/>
    </row>
    <row r="307" spans="1:10" x14ac:dyDescent="0.2">
      <c r="A307" s="13"/>
      <c r="B307" s="14"/>
      <c r="C307" s="13"/>
      <c r="D307" s="13"/>
      <c r="E307" s="13"/>
      <c r="F307" s="13"/>
      <c r="G307" s="13"/>
      <c r="H307" s="13"/>
      <c r="I307" s="15"/>
      <c r="J307" s="15"/>
    </row>
    <row r="308" spans="1:10" x14ac:dyDescent="0.2">
      <c r="A308" s="13"/>
      <c r="B308" s="14"/>
      <c r="C308" s="13"/>
      <c r="D308" s="13"/>
      <c r="E308" s="13"/>
      <c r="F308" s="13"/>
      <c r="G308" s="13"/>
      <c r="H308" s="13"/>
      <c r="I308" s="15"/>
      <c r="J308" s="15"/>
    </row>
    <row r="309" spans="1:10" x14ac:dyDescent="0.2">
      <c r="A309" s="13"/>
      <c r="B309" s="14"/>
      <c r="C309" s="13"/>
      <c r="D309" s="13"/>
      <c r="E309" s="13"/>
      <c r="F309" s="13"/>
      <c r="G309" s="13"/>
      <c r="H309" s="13"/>
      <c r="I309" s="15"/>
      <c r="J309" s="15"/>
    </row>
    <row r="310" spans="1:10" x14ac:dyDescent="0.2">
      <c r="A310" s="13"/>
      <c r="B310" s="14"/>
      <c r="C310" s="13"/>
      <c r="D310" s="13"/>
      <c r="E310" s="13"/>
      <c r="F310" s="13"/>
      <c r="G310" s="13"/>
      <c r="H310" s="13"/>
      <c r="I310" s="15"/>
      <c r="J310" s="15"/>
    </row>
    <row r="311" spans="1:10" x14ac:dyDescent="0.2">
      <c r="A311" s="13"/>
      <c r="B311" s="14"/>
      <c r="C311" s="13"/>
      <c r="D311" s="13"/>
      <c r="E311" s="13"/>
      <c r="F311" s="13"/>
      <c r="G311" s="13"/>
      <c r="H311" s="13"/>
      <c r="I311" s="15"/>
      <c r="J311" s="15"/>
    </row>
    <row r="312" spans="1:10" x14ac:dyDescent="0.2">
      <c r="A312" s="13"/>
      <c r="B312" s="14"/>
      <c r="C312" s="13"/>
      <c r="D312" s="13"/>
      <c r="E312" s="13"/>
      <c r="F312" s="13"/>
      <c r="G312" s="13"/>
      <c r="H312" s="13"/>
      <c r="I312" s="15"/>
      <c r="J312" s="15"/>
    </row>
    <row r="313" spans="1:10" x14ac:dyDescent="0.2">
      <c r="A313" s="13"/>
      <c r="B313" s="14"/>
      <c r="C313" s="13"/>
      <c r="D313" s="13"/>
      <c r="E313" s="13"/>
      <c r="F313" s="13"/>
      <c r="G313" s="13"/>
      <c r="H313" s="13"/>
      <c r="I313" s="15"/>
      <c r="J313" s="15"/>
    </row>
    <row r="314" spans="1:10" x14ac:dyDescent="0.2">
      <c r="A314" s="13"/>
      <c r="B314" s="14"/>
      <c r="C314" s="13"/>
      <c r="D314" s="13"/>
      <c r="E314" s="13"/>
      <c r="F314" s="13"/>
      <c r="G314" s="13"/>
      <c r="H314" s="13"/>
      <c r="I314" s="15"/>
      <c r="J314" s="15"/>
    </row>
    <row r="315" spans="1:10" x14ac:dyDescent="0.2">
      <c r="A315" s="13"/>
      <c r="B315" s="14"/>
      <c r="C315" s="13"/>
      <c r="D315" s="13"/>
      <c r="E315" s="13"/>
      <c r="F315" s="13"/>
      <c r="G315" s="13"/>
      <c r="H315" s="13"/>
      <c r="I315" s="15"/>
      <c r="J315" s="15"/>
    </row>
    <row r="316" spans="1:10" x14ac:dyDescent="0.2">
      <c r="A316" s="13"/>
      <c r="B316" s="14"/>
      <c r="C316" s="13"/>
      <c r="D316" s="13"/>
      <c r="E316" s="13"/>
      <c r="F316" s="13"/>
      <c r="G316" s="13"/>
      <c r="H316" s="13"/>
      <c r="I316" s="15"/>
      <c r="J316" s="15"/>
    </row>
    <row r="317" spans="1:10" x14ac:dyDescent="0.2">
      <c r="A317" s="13"/>
      <c r="B317" s="14"/>
      <c r="C317" s="13"/>
      <c r="D317" s="13"/>
      <c r="E317" s="13"/>
      <c r="F317" s="13"/>
      <c r="G317" s="13"/>
      <c r="H317" s="13"/>
      <c r="I317" s="15"/>
      <c r="J317" s="15"/>
    </row>
    <row r="318" spans="1:10" x14ac:dyDescent="0.2">
      <c r="A318" s="13"/>
      <c r="B318" s="14"/>
      <c r="C318" s="13"/>
      <c r="D318" s="13"/>
      <c r="E318" s="13"/>
      <c r="F318" s="13"/>
      <c r="G318" s="13"/>
      <c r="H318" s="13"/>
      <c r="I318" s="15"/>
      <c r="J318" s="15"/>
    </row>
    <row r="319" spans="1:10" x14ac:dyDescent="0.2">
      <c r="A319" s="13"/>
      <c r="B319" s="14"/>
      <c r="C319" s="13"/>
      <c r="D319" s="13"/>
      <c r="E319" s="13"/>
      <c r="F319" s="13"/>
      <c r="G319" s="13"/>
      <c r="H319" s="13"/>
      <c r="I319" s="15"/>
      <c r="J319" s="15"/>
    </row>
    <row r="320" spans="1:10" x14ac:dyDescent="0.2">
      <c r="A320" s="13"/>
      <c r="B320" s="14"/>
      <c r="C320" s="13"/>
      <c r="D320" s="13"/>
      <c r="E320" s="13"/>
      <c r="F320" s="13"/>
      <c r="G320" s="13"/>
      <c r="H320" s="13"/>
      <c r="I320" s="15"/>
      <c r="J320" s="15"/>
    </row>
    <row r="321" spans="1:10" x14ac:dyDescent="0.2">
      <c r="A321" s="13"/>
      <c r="B321" s="14"/>
      <c r="C321" s="13"/>
      <c r="D321" s="13"/>
      <c r="E321" s="13"/>
      <c r="F321" s="13"/>
      <c r="G321" s="13"/>
      <c r="H321" s="13"/>
      <c r="I321" s="15"/>
      <c r="J321" s="15"/>
    </row>
    <row r="322" spans="1:10" x14ac:dyDescent="0.2">
      <c r="A322" s="13"/>
      <c r="B322" s="14"/>
      <c r="C322" s="13"/>
      <c r="D322" s="13"/>
      <c r="E322" s="13"/>
      <c r="F322" s="13"/>
      <c r="G322" s="13"/>
      <c r="H322" s="13"/>
      <c r="I322" s="15"/>
      <c r="J322" s="15"/>
    </row>
    <row r="323" spans="1:10" x14ac:dyDescent="0.2">
      <c r="A323" s="13"/>
      <c r="B323" s="14"/>
      <c r="C323" s="13"/>
      <c r="D323" s="13"/>
      <c r="E323" s="13"/>
      <c r="F323" s="13"/>
      <c r="G323" s="13"/>
      <c r="H323" s="13"/>
      <c r="I323" s="15"/>
      <c r="J323" s="15"/>
    </row>
    <row r="324" spans="1:10" x14ac:dyDescent="0.2">
      <c r="A324" s="13"/>
      <c r="B324" s="14"/>
      <c r="C324" s="13"/>
      <c r="D324" s="13"/>
      <c r="E324" s="13"/>
      <c r="F324" s="13"/>
      <c r="G324" s="13"/>
      <c r="H324" s="13"/>
      <c r="I324" s="15"/>
      <c r="J324" s="15"/>
    </row>
    <row r="325" spans="1:10" x14ac:dyDescent="0.2">
      <c r="A325" s="13"/>
      <c r="B325" s="14"/>
      <c r="C325" s="13"/>
      <c r="D325" s="13"/>
      <c r="E325" s="13"/>
      <c r="F325" s="13"/>
      <c r="G325" s="13"/>
      <c r="H325" s="13"/>
      <c r="I325" s="15"/>
      <c r="J325" s="15"/>
    </row>
    <row r="326" spans="1:10" x14ac:dyDescent="0.2">
      <c r="A326" s="13"/>
      <c r="B326" s="14"/>
      <c r="C326" s="13"/>
      <c r="D326" s="13"/>
      <c r="E326" s="13"/>
      <c r="F326" s="13"/>
      <c r="G326" s="13"/>
      <c r="H326" s="13"/>
      <c r="I326" s="15"/>
      <c r="J326" s="15"/>
    </row>
    <row r="327" spans="1:10" x14ac:dyDescent="0.2">
      <c r="A327" s="13"/>
      <c r="B327" s="14"/>
      <c r="C327" s="13"/>
      <c r="D327" s="13"/>
      <c r="E327" s="13"/>
      <c r="F327" s="13"/>
      <c r="G327" s="13"/>
      <c r="H327" s="13"/>
      <c r="I327" s="15"/>
      <c r="J327" s="15"/>
    </row>
    <row r="328" spans="1:10" x14ac:dyDescent="0.2">
      <c r="A328" s="13"/>
      <c r="B328" s="14"/>
      <c r="C328" s="13"/>
      <c r="D328" s="13"/>
      <c r="E328" s="13"/>
      <c r="F328" s="13"/>
      <c r="G328" s="13"/>
      <c r="H328" s="13"/>
      <c r="I328" s="15"/>
      <c r="J328" s="15"/>
    </row>
    <row r="329" spans="1:10" x14ac:dyDescent="0.2">
      <c r="A329" s="13"/>
      <c r="B329" s="14"/>
      <c r="C329" s="13"/>
      <c r="D329" s="13"/>
      <c r="E329" s="13"/>
      <c r="F329" s="13"/>
      <c r="G329" s="13"/>
      <c r="H329" s="13"/>
      <c r="I329" s="15"/>
      <c r="J329" s="15"/>
    </row>
    <row r="330" spans="1:10" x14ac:dyDescent="0.2">
      <c r="A330" s="13"/>
      <c r="B330" s="14"/>
      <c r="C330" s="13"/>
      <c r="D330" s="13"/>
      <c r="E330" s="13"/>
      <c r="F330" s="13"/>
      <c r="G330" s="13"/>
      <c r="H330" s="13"/>
      <c r="I330" s="15"/>
      <c r="J330" s="15"/>
    </row>
    <row r="331" spans="1:10" x14ac:dyDescent="0.2">
      <c r="A331" s="13"/>
      <c r="B331" s="14"/>
      <c r="C331" s="13"/>
      <c r="D331" s="13"/>
      <c r="E331" s="13"/>
      <c r="F331" s="13"/>
      <c r="G331" s="13"/>
      <c r="H331" s="13"/>
      <c r="I331" s="15"/>
      <c r="J331" s="15"/>
    </row>
    <row r="332" spans="1:10" x14ac:dyDescent="0.2">
      <c r="A332" s="13"/>
      <c r="B332" s="14"/>
      <c r="C332" s="13"/>
      <c r="D332" s="13"/>
      <c r="E332" s="13"/>
      <c r="F332" s="13"/>
      <c r="G332" s="13"/>
      <c r="H332" s="13"/>
      <c r="I332" s="15"/>
      <c r="J332" s="15"/>
    </row>
    <row r="333" spans="1:10" x14ac:dyDescent="0.2">
      <c r="A333" s="13"/>
      <c r="B333" s="14"/>
      <c r="C333" s="13"/>
      <c r="D333" s="13"/>
      <c r="E333" s="13"/>
      <c r="F333" s="13"/>
      <c r="G333" s="13"/>
      <c r="H333" s="13"/>
      <c r="I333" s="15"/>
      <c r="J333" s="15"/>
    </row>
    <row r="334" spans="1:10" hidden="1" x14ac:dyDescent="0.2">
      <c r="A334" s="13" t="s">
        <v>112</v>
      </c>
      <c r="B334" s="14" t="s">
        <v>115</v>
      </c>
      <c r="C334" s="13" t="s">
        <v>41</v>
      </c>
      <c r="D334" s="13" t="s">
        <v>40</v>
      </c>
      <c r="E334" s="13" t="s">
        <v>205</v>
      </c>
      <c r="F334" s="13" t="s">
        <v>193</v>
      </c>
      <c r="G334" s="13" t="s">
        <v>217</v>
      </c>
      <c r="H334" s="13" t="s">
        <v>218</v>
      </c>
      <c r="I334" s="15">
        <v>42469</v>
      </c>
      <c r="J334" s="15">
        <v>42470</v>
      </c>
    </row>
    <row r="335" spans="1:10" x14ac:dyDescent="0.2">
      <c r="A335" s="13"/>
      <c r="B335" s="14"/>
      <c r="C335" s="13"/>
      <c r="D335" s="13"/>
      <c r="E335" s="13"/>
      <c r="F335" s="13"/>
      <c r="G335" s="13"/>
      <c r="H335" s="13"/>
      <c r="I335" s="15"/>
      <c r="J335" s="15"/>
    </row>
    <row r="336" spans="1:10" x14ac:dyDescent="0.2">
      <c r="A336" s="13"/>
      <c r="B336" s="14"/>
      <c r="C336" s="13"/>
      <c r="D336" s="13"/>
      <c r="E336" s="13"/>
      <c r="F336" s="13"/>
      <c r="G336" s="13"/>
      <c r="H336" s="13"/>
      <c r="I336" s="15"/>
      <c r="J336" s="15"/>
    </row>
    <row r="337" spans="1:10" x14ac:dyDescent="0.2">
      <c r="A337" s="13"/>
      <c r="B337" s="14"/>
      <c r="C337" s="13"/>
      <c r="D337" s="13"/>
      <c r="E337" s="13"/>
      <c r="F337" s="13"/>
      <c r="G337" s="13"/>
      <c r="H337" s="13"/>
      <c r="I337" s="15"/>
      <c r="J337" s="15"/>
    </row>
    <row r="338" spans="1:10" x14ac:dyDescent="0.2">
      <c r="A338" s="13"/>
      <c r="B338" s="14"/>
      <c r="C338" s="13"/>
      <c r="D338" s="13"/>
      <c r="E338" s="13"/>
      <c r="F338" s="13"/>
      <c r="G338" s="13"/>
      <c r="H338" s="13"/>
      <c r="I338" s="15"/>
      <c r="J338" s="15"/>
    </row>
    <row r="339" spans="1:10" x14ac:dyDescent="0.2">
      <c r="A339" s="13"/>
      <c r="B339" s="14"/>
      <c r="C339" s="13"/>
      <c r="D339" s="13"/>
      <c r="E339" s="13"/>
      <c r="F339" s="13"/>
      <c r="G339" s="13"/>
      <c r="H339" s="13"/>
      <c r="I339" s="15"/>
      <c r="J339" s="15"/>
    </row>
    <row r="340" spans="1:10" x14ac:dyDescent="0.2">
      <c r="A340" s="13"/>
      <c r="B340" s="14"/>
      <c r="C340" s="13"/>
      <c r="D340" s="13"/>
      <c r="E340" s="13"/>
      <c r="F340" s="13"/>
      <c r="G340" s="13"/>
      <c r="H340" s="13"/>
      <c r="I340" s="15"/>
      <c r="J340" s="15"/>
    </row>
    <row r="341" spans="1:10" x14ac:dyDescent="0.2">
      <c r="A341" s="13"/>
      <c r="B341" s="14"/>
      <c r="C341" s="13"/>
      <c r="D341" s="13"/>
      <c r="E341" s="13"/>
      <c r="F341" s="13"/>
      <c r="G341" s="13"/>
      <c r="H341" s="13"/>
      <c r="I341" s="15"/>
      <c r="J341" s="15"/>
    </row>
    <row r="342" spans="1:10" x14ac:dyDescent="0.2">
      <c r="A342" s="13"/>
      <c r="B342" s="14"/>
      <c r="C342" s="13"/>
      <c r="D342" s="13"/>
      <c r="E342" s="13"/>
      <c r="F342" s="13"/>
      <c r="G342" s="13"/>
      <c r="H342" s="13"/>
      <c r="I342" s="15"/>
      <c r="J342" s="15"/>
    </row>
    <row r="343" spans="1:10" hidden="1" x14ac:dyDescent="0.2">
      <c r="A343" s="13" t="s">
        <v>109</v>
      </c>
      <c r="B343" s="14" t="s">
        <v>127</v>
      </c>
      <c r="C343" s="13" t="s">
        <v>35</v>
      </c>
      <c r="D343" s="13" t="s">
        <v>30</v>
      </c>
      <c r="E343" s="13" t="s">
        <v>205</v>
      </c>
      <c r="F343" s="13" t="s">
        <v>189</v>
      </c>
      <c r="G343" s="13" t="s">
        <v>196</v>
      </c>
      <c r="H343" s="13" t="s">
        <v>233</v>
      </c>
      <c r="I343" s="15">
        <v>43113</v>
      </c>
      <c r="J343" s="15">
        <v>43114</v>
      </c>
    </row>
    <row r="344" spans="1:10" hidden="1" x14ac:dyDescent="0.2">
      <c r="A344" s="13" t="s">
        <v>109</v>
      </c>
      <c r="B344" s="14" t="s">
        <v>133</v>
      </c>
      <c r="C344" s="13" t="s">
        <v>56</v>
      </c>
      <c r="D344" s="13" t="s">
        <v>23</v>
      </c>
      <c r="E344" s="13" t="s">
        <v>205</v>
      </c>
      <c r="F344" s="13" t="s">
        <v>189</v>
      </c>
      <c r="G344" s="13" t="s">
        <v>196</v>
      </c>
      <c r="H344" s="13" t="s">
        <v>233</v>
      </c>
      <c r="I344" s="15">
        <v>43113</v>
      </c>
      <c r="J344" s="15">
        <v>43114</v>
      </c>
    </row>
    <row r="345" spans="1:10" hidden="1" x14ac:dyDescent="0.2">
      <c r="A345" s="13" t="s">
        <v>109</v>
      </c>
      <c r="B345" s="14" t="s">
        <v>127</v>
      </c>
      <c r="C345" s="13" t="s">
        <v>35</v>
      </c>
      <c r="D345" s="13" t="s">
        <v>30</v>
      </c>
      <c r="E345" s="13" t="s">
        <v>205</v>
      </c>
      <c r="F345" s="13" t="s">
        <v>189</v>
      </c>
      <c r="G345" s="13" t="s">
        <v>196</v>
      </c>
      <c r="H345" s="13" t="s">
        <v>234</v>
      </c>
      <c r="I345" s="15">
        <v>42707</v>
      </c>
      <c r="J345" s="15">
        <v>42708</v>
      </c>
    </row>
    <row r="346" spans="1:10" hidden="1" x14ac:dyDescent="0.2">
      <c r="A346" s="13" t="s">
        <v>109</v>
      </c>
      <c r="B346" s="14" t="s">
        <v>127</v>
      </c>
      <c r="C346" s="13" t="s">
        <v>35</v>
      </c>
      <c r="D346" s="13" t="s">
        <v>30</v>
      </c>
      <c r="E346" s="13" t="s">
        <v>205</v>
      </c>
      <c r="F346" s="13" t="s">
        <v>189</v>
      </c>
      <c r="G346" s="13" t="s">
        <v>196</v>
      </c>
      <c r="H346" s="13" t="s">
        <v>224</v>
      </c>
      <c r="I346" s="15">
        <v>42378</v>
      </c>
      <c r="J346" s="15">
        <v>42379</v>
      </c>
    </row>
    <row r="347" spans="1:10" x14ac:dyDescent="0.2">
      <c r="A347" s="13"/>
      <c r="B347" s="14"/>
      <c r="C347" s="13"/>
      <c r="D347" s="13"/>
      <c r="E347" s="13"/>
      <c r="F347" s="13"/>
      <c r="G347" s="13"/>
      <c r="H347" s="13"/>
      <c r="I347" s="15"/>
      <c r="J347" s="15"/>
    </row>
    <row r="348" spans="1:10" x14ac:dyDescent="0.2">
      <c r="A348" s="13"/>
      <c r="B348" s="14"/>
      <c r="C348" s="13"/>
      <c r="D348" s="13"/>
      <c r="E348" s="13"/>
      <c r="F348" s="13"/>
      <c r="G348" s="13"/>
      <c r="H348" s="13"/>
      <c r="I348" s="15"/>
      <c r="J348" s="15"/>
    </row>
    <row r="349" spans="1:10" hidden="1" x14ac:dyDescent="0.2">
      <c r="A349" s="13" t="s">
        <v>112</v>
      </c>
      <c r="B349" s="14" t="s">
        <v>115</v>
      </c>
      <c r="C349" s="13" t="s">
        <v>41</v>
      </c>
      <c r="D349" s="13" t="s">
        <v>40</v>
      </c>
      <c r="E349" s="13" t="s">
        <v>205</v>
      </c>
      <c r="F349" s="13" t="s">
        <v>189</v>
      </c>
      <c r="G349" s="13" t="s">
        <v>208</v>
      </c>
      <c r="H349" s="13" t="s">
        <v>240</v>
      </c>
      <c r="I349" s="15">
        <v>42700</v>
      </c>
      <c r="J349" s="15">
        <v>42701</v>
      </c>
    </row>
    <row r="350" spans="1:10" hidden="1" x14ac:dyDescent="0.2">
      <c r="A350" s="13" t="s">
        <v>112</v>
      </c>
      <c r="B350" s="14" t="s">
        <v>115</v>
      </c>
      <c r="C350" s="13" t="s">
        <v>41</v>
      </c>
      <c r="D350" s="13" t="s">
        <v>40</v>
      </c>
      <c r="E350" s="13" t="s">
        <v>205</v>
      </c>
      <c r="F350" s="13" t="s">
        <v>189</v>
      </c>
      <c r="G350" s="13" t="s">
        <v>208</v>
      </c>
      <c r="H350" s="13" t="s">
        <v>242</v>
      </c>
      <c r="I350" s="15">
        <v>42329</v>
      </c>
      <c r="J350" s="15">
        <v>42330</v>
      </c>
    </row>
    <row r="351" spans="1:10" x14ac:dyDescent="0.2">
      <c r="A351" s="13"/>
      <c r="B351" s="14"/>
      <c r="C351" s="13"/>
      <c r="D351" s="13"/>
      <c r="E351" s="13"/>
      <c r="F351" s="13"/>
      <c r="G351" s="13"/>
      <c r="H351" s="13"/>
      <c r="I351" s="15"/>
      <c r="J351" s="15"/>
    </row>
    <row r="352" spans="1:10" x14ac:dyDescent="0.2">
      <c r="A352" s="13"/>
      <c r="B352" s="14"/>
      <c r="C352" s="13"/>
      <c r="D352" s="13"/>
      <c r="E352" s="13"/>
      <c r="F352" s="13"/>
      <c r="G352" s="13"/>
      <c r="H352" s="13"/>
      <c r="I352" s="15"/>
      <c r="J352" s="15"/>
    </row>
    <row r="353" spans="1:10" x14ac:dyDescent="0.2">
      <c r="A353" s="13"/>
      <c r="B353" s="14"/>
      <c r="C353" s="13"/>
      <c r="D353" s="13"/>
      <c r="E353" s="13"/>
      <c r="F353" s="13"/>
      <c r="G353" s="13"/>
      <c r="H353" s="13"/>
      <c r="I353" s="15"/>
      <c r="J353" s="15"/>
    </row>
    <row r="354" spans="1:10" x14ac:dyDescent="0.2">
      <c r="A354" s="13"/>
      <c r="B354" s="14"/>
      <c r="C354" s="13"/>
      <c r="D354" s="13"/>
      <c r="E354" s="13"/>
      <c r="F354" s="13"/>
      <c r="G354" s="13"/>
      <c r="H354" s="13"/>
      <c r="I354" s="15"/>
      <c r="J354" s="15"/>
    </row>
    <row r="355" spans="1:10" x14ac:dyDescent="0.2">
      <c r="A355" s="13"/>
      <c r="B355" s="14"/>
      <c r="C355" s="13"/>
      <c r="D355" s="13"/>
      <c r="E355" s="13"/>
      <c r="F355" s="13"/>
      <c r="G355" s="13"/>
      <c r="H355" s="13"/>
      <c r="I355" s="15"/>
      <c r="J355" s="15"/>
    </row>
    <row r="356" spans="1:10" x14ac:dyDescent="0.2">
      <c r="A356" s="13"/>
      <c r="B356" s="14"/>
      <c r="C356" s="13"/>
      <c r="D356" s="13"/>
      <c r="E356" s="13"/>
      <c r="F356" s="13"/>
      <c r="G356" s="13"/>
      <c r="H356" s="13"/>
      <c r="I356" s="15"/>
      <c r="J356" s="15"/>
    </row>
    <row r="357" spans="1:10" x14ac:dyDescent="0.2">
      <c r="A357" s="13"/>
      <c r="B357" s="14"/>
      <c r="C357" s="13"/>
      <c r="D357" s="13"/>
      <c r="E357" s="13"/>
      <c r="F357" s="13"/>
      <c r="G357" s="13"/>
      <c r="H357" s="13"/>
      <c r="I357" s="15"/>
      <c r="J357" s="15"/>
    </row>
    <row r="358" spans="1:10" x14ac:dyDescent="0.2">
      <c r="A358" s="13"/>
      <c r="B358" s="14"/>
      <c r="C358" s="13"/>
      <c r="D358" s="13"/>
      <c r="E358" s="13"/>
      <c r="F358" s="13"/>
      <c r="G358" s="13"/>
      <c r="H358" s="13"/>
      <c r="I358" s="15"/>
      <c r="J358" s="15"/>
    </row>
    <row r="359" spans="1:10" x14ac:dyDescent="0.2">
      <c r="A359" s="13"/>
      <c r="B359" s="14"/>
      <c r="C359" s="13"/>
      <c r="D359" s="13"/>
      <c r="E359" s="13"/>
      <c r="F359" s="13"/>
      <c r="G359" s="13"/>
      <c r="H359" s="13"/>
      <c r="I359" s="15"/>
      <c r="J359" s="15"/>
    </row>
    <row r="360" spans="1:10" x14ac:dyDescent="0.2">
      <c r="A360" s="13"/>
      <c r="B360" s="14"/>
      <c r="C360" s="13"/>
      <c r="D360" s="13"/>
      <c r="E360" s="13"/>
      <c r="F360" s="13"/>
      <c r="G360" s="13"/>
      <c r="H360" s="13"/>
      <c r="I360" s="15"/>
      <c r="J360" s="15"/>
    </row>
    <row r="361" spans="1:10" x14ac:dyDescent="0.2">
      <c r="A361" s="13"/>
      <c r="B361" s="14"/>
      <c r="C361" s="13"/>
      <c r="D361" s="13"/>
      <c r="E361" s="13"/>
      <c r="F361" s="13"/>
      <c r="G361" s="13"/>
      <c r="H361" s="13"/>
      <c r="I361" s="15"/>
      <c r="J361" s="15"/>
    </row>
    <row r="362" spans="1:10" x14ac:dyDescent="0.2">
      <c r="A362" s="13"/>
      <c r="B362" s="14"/>
      <c r="C362" s="13"/>
      <c r="D362" s="13"/>
      <c r="E362" s="13"/>
      <c r="F362" s="13"/>
      <c r="G362" s="13"/>
      <c r="H362" s="13"/>
      <c r="I362" s="15"/>
      <c r="J362" s="15"/>
    </row>
    <row r="363" spans="1:10" x14ac:dyDescent="0.2">
      <c r="A363" s="13"/>
      <c r="B363" s="14"/>
      <c r="C363" s="13"/>
      <c r="D363" s="13"/>
      <c r="E363" s="13"/>
      <c r="F363" s="13"/>
      <c r="G363" s="13"/>
      <c r="H363" s="13"/>
      <c r="I363" s="15"/>
      <c r="J363" s="15"/>
    </row>
    <row r="364" spans="1:10" x14ac:dyDescent="0.2">
      <c r="A364" s="13"/>
      <c r="B364" s="14"/>
      <c r="C364" s="13"/>
      <c r="D364" s="13"/>
      <c r="E364" s="13"/>
      <c r="F364" s="13"/>
      <c r="G364" s="13"/>
      <c r="H364" s="13"/>
      <c r="I364" s="15"/>
      <c r="J364" s="15"/>
    </row>
    <row r="365" spans="1:10" x14ac:dyDescent="0.2">
      <c r="A365" s="13"/>
      <c r="B365" s="14"/>
      <c r="C365" s="13"/>
      <c r="D365" s="13"/>
      <c r="E365" s="13"/>
      <c r="F365" s="13"/>
      <c r="G365" s="13"/>
      <c r="H365" s="13"/>
      <c r="I365" s="15"/>
      <c r="J365" s="15"/>
    </row>
    <row r="366" spans="1:10" x14ac:dyDescent="0.2">
      <c r="A366" s="13"/>
      <c r="B366" s="14"/>
      <c r="C366" s="13"/>
      <c r="D366" s="13"/>
      <c r="E366" s="13"/>
      <c r="F366" s="13"/>
      <c r="G366" s="13"/>
      <c r="H366" s="13"/>
      <c r="I366" s="15"/>
      <c r="J366" s="15"/>
    </row>
    <row r="367" spans="1:10" hidden="1" x14ac:dyDescent="0.2">
      <c r="A367" s="13" t="s">
        <v>112</v>
      </c>
      <c r="B367" s="14" t="s">
        <v>180</v>
      </c>
      <c r="C367" s="13" t="s">
        <v>179</v>
      </c>
      <c r="D367" s="13" t="s">
        <v>34</v>
      </c>
      <c r="E367" s="13" t="s">
        <v>205</v>
      </c>
      <c r="F367" s="13" t="s">
        <v>189</v>
      </c>
      <c r="G367" s="13" t="s">
        <v>261</v>
      </c>
      <c r="H367" s="13" t="s">
        <v>262</v>
      </c>
      <c r="I367" s="15">
        <v>43064</v>
      </c>
      <c r="J367" s="15">
        <v>43065</v>
      </c>
    </row>
    <row r="368" spans="1:10" x14ac:dyDescent="0.2">
      <c r="A368" s="13"/>
      <c r="B368" s="14"/>
      <c r="C368" s="13"/>
      <c r="D368" s="13"/>
      <c r="E368" s="13"/>
      <c r="F368" s="13"/>
      <c r="G368" s="13"/>
      <c r="H368" s="13"/>
      <c r="I368" s="15"/>
      <c r="J368" s="15"/>
    </row>
    <row r="369" spans="1:10" x14ac:dyDescent="0.2">
      <c r="A369" s="13"/>
      <c r="B369" s="14"/>
      <c r="C369" s="13"/>
      <c r="D369" s="13"/>
      <c r="E369" s="13"/>
      <c r="F369" s="13"/>
      <c r="G369" s="13"/>
      <c r="H369" s="13"/>
      <c r="I369" s="15"/>
      <c r="J369" s="15"/>
    </row>
    <row r="370" spans="1:10" x14ac:dyDescent="0.2">
      <c r="A370" s="13"/>
      <c r="B370" s="14"/>
      <c r="C370" s="13"/>
      <c r="D370" s="13"/>
      <c r="E370" s="13"/>
      <c r="F370" s="13"/>
      <c r="G370" s="13"/>
      <c r="H370" s="13"/>
      <c r="I370" s="15"/>
      <c r="J370" s="15"/>
    </row>
    <row r="371" spans="1:10" x14ac:dyDescent="0.2">
      <c r="A371" s="13"/>
      <c r="B371" s="14"/>
      <c r="C371" s="13"/>
      <c r="D371" s="13"/>
      <c r="E371" s="13"/>
      <c r="F371" s="13"/>
      <c r="G371" s="13"/>
      <c r="H371" s="13"/>
      <c r="I371" s="15"/>
      <c r="J371" s="15"/>
    </row>
    <row r="372" spans="1:10" x14ac:dyDescent="0.2">
      <c r="A372" s="13"/>
      <c r="B372" s="14"/>
      <c r="C372" s="13"/>
      <c r="D372" s="13"/>
      <c r="E372" s="13"/>
      <c r="F372" s="13"/>
      <c r="G372" s="13"/>
      <c r="H372" s="13"/>
      <c r="I372" s="15"/>
      <c r="J372" s="15"/>
    </row>
    <row r="373" spans="1:10" x14ac:dyDescent="0.2">
      <c r="A373" s="13"/>
      <c r="B373" s="14"/>
      <c r="C373" s="13"/>
      <c r="D373" s="13"/>
      <c r="E373" s="13"/>
      <c r="F373" s="13"/>
      <c r="G373" s="13"/>
      <c r="H373" s="13"/>
      <c r="I373" s="15"/>
      <c r="J373" s="15"/>
    </row>
    <row r="374" spans="1:10" x14ac:dyDescent="0.2">
      <c r="A374" s="13"/>
      <c r="B374" s="14"/>
      <c r="C374" s="13"/>
      <c r="D374" s="13"/>
      <c r="E374" s="13"/>
      <c r="F374" s="13"/>
      <c r="G374" s="13"/>
      <c r="H374" s="13"/>
      <c r="I374" s="15"/>
      <c r="J374" s="15"/>
    </row>
    <row r="375" spans="1:10" x14ac:dyDescent="0.2">
      <c r="A375" s="13"/>
      <c r="B375" s="14"/>
      <c r="C375" s="13"/>
      <c r="D375" s="13"/>
      <c r="E375" s="13"/>
      <c r="F375" s="13"/>
      <c r="G375" s="13"/>
      <c r="H375" s="13"/>
      <c r="I375" s="15"/>
      <c r="J375" s="15"/>
    </row>
    <row r="376" spans="1:10" x14ac:dyDescent="0.2">
      <c r="A376" s="13"/>
      <c r="B376" s="14"/>
      <c r="C376" s="13"/>
      <c r="D376" s="13"/>
      <c r="E376" s="13"/>
      <c r="F376" s="13"/>
      <c r="G376" s="13"/>
      <c r="H376" s="13"/>
      <c r="I376" s="15"/>
      <c r="J376" s="15"/>
    </row>
    <row r="377" spans="1:10" x14ac:dyDescent="0.2">
      <c r="A377" s="13"/>
      <c r="B377" s="14"/>
      <c r="C377" s="13"/>
      <c r="D377" s="13"/>
      <c r="E377" s="13"/>
      <c r="F377" s="13"/>
      <c r="G377" s="13"/>
      <c r="H377" s="13"/>
      <c r="I377" s="15"/>
      <c r="J377" s="15"/>
    </row>
    <row r="378" spans="1:10" x14ac:dyDescent="0.2">
      <c r="A378" s="13"/>
      <c r="B378" s="14"/>
      <c r="C378" s="13"/>
      <c r="D378" s="13"/>
      <c r="E378" s="13"/>
      <c r="F378" s="13"/>
      <c r="G378" s="13"/>
      <c r="H378" s="13"/>
      <c r="I378" s="15"/>
      <c r="J378" s="15"/>
    </row>
    <row r="379" spans="1:10" x14ac:dyDescent="0.2">
      <c r="A379" s="13"/>
      <c r="B379" s="14"/>
      <c r="C379" s="13"/>
      <c r="D379" s="13"/>
      <c r="E379" s="13"/>
      <c r="F379" s="13"/>
      <c r="G379" s="13"/>
      <c r="H379" s="13"/>
      <c r="I379" s="15"/>
      <c r="J379" s="15"/>
    </row>
    <row r="380" spans="1:10" x14ac:dyDescent="0.2">
      <c r="A380" s="13"/>
      <c r="B380" s="14"/>
      <c r="C380" s="13"/>
      <c r="D380" s="13"/>
      <c r="E380" s="13"/>
      <c r="F380" s="13"/>
      <c r="G380" s="13"/>
      <c r="H380" s="13"/>
      <c r="I380" s="15"/>
      <c r="J380" s="15"/>
    </row>
    <row r="381" spans="1:10" x14ac:dyDescent="0.2">
      <c r="A381" s="13"/>
      <c r="B381" s="14"/>
      <c r="C381" s="13"/>
      <c r="D381" s="13"/>
      <c r="E381" s="13"/>
      <c r="F381" s="13"/>
      <c r="G381" s="13"/>
      <c r="H381" s="13"/>
      <c r="I381" s="15"/>
      <c r="J381" s="15"/>
    </row>
    <row r="382" spans="1:10" x14ac:dyDescent="0.2">
      <c r="A382" s="13"/>
      <c r="B382" s="14"/>
      <c r="C382" s="13"/>
      <c r="D382" s="13"/>
      <c r="E382" s="13"/>
      <c r="F382" s="13"/>
      <c r="G382" s="13"/>
      <c r="H382" s="13"/>
      <c r="I382" s="15"/>
      <c r="J382" s="15"/>
    </row>
    <row r="383" spans="1:10" x14ac:dyDescent="0.2">
      <c r="A383" s="13"/>
      <c r="B383" s="14"/>
      <c r="C383" s="13"/>
      <c r="D383" s="13"/>
      <c r="E383" s="13"/>
      <c r="F383" s="13"/>
      <c r="G383" s="13"/>
      <c r="H383" s="13"/>
      <c r="I383" s="15"/>
      <c r="J383" s="15"/>
    </row>
    <row r="384" spans="1:10" x14ac:dyDescent="0.2">
      <c r="A384" s="13"/>
      <c r="B384" s="14"/>
      <c r="C384" s="13"/>
      <c r="D384" s="13"/>
      <c r="E384" s="13"/>
      <c r="F384" s="13"/>
      <c r="G384" s="13"/>
      <c r="H384" s="13"/>
      <c r="I384" s="15"/>
      <c r="J384" s="15"/>
    </row>
    <row r="385" spans="1:10" x14ac:dyDescent="0.2">
      <c r="A385" s="13"/>
      <c r="B385" s="14"/>
      <c r="C385" s="13"/>
      <c r="D385" s="13"/>
      <c r="E385" s="13"/>
      <c r="F385" s="13"/>
      <c r="G385" s="13"/>
      <c r="H385" s="13"/>
      <c r="I385" s="15"/>
      <c r="J385" s="15"/>
    </row>
    <row r="386" spans="1:10" x14ac:dyDescent="0.2">
      <c r="A386" s="13"/>
      <c r="B386" s="14"/>
      <c r="C386" s="13"/>
      <c r="D386" s="13"/>
      <c r="E386" s="13"/>
      <c r="F386" s="13"/>
      <c r="G386" s="13"/>
      <c r="H386" s="13"/>
      <c r="I386" s="15"/>
      <c r="J386" s="15"/>
    </row>
    <row r="387" spans="1:10" x14ac:dyDescent="0.2">
      <c r="A387" s="13"/>
      <c r="B387" s="14"/>
      <c r="C387" s="13"/>
      <c r="D387" s="13"/>
      <c r="E387" s="13"/>
      <c r="F387" s="13"/>
      <c r="G387" s="13"/>
      <c r="H387" s="13"/>
      <c r="I387" s="15"/>
      <c r="J387" s="15"/>
    </row>
    <row r="388" spans="1:10" x14ac:dyDescent="0.2">
      <c r="A388" s="13"/>
      <c r="B388" s="14"/>
      <c r="C388" s="13"/>
      <c r="D388" s="13"/>
      <c r="E388" s="13"/>
      <c r="F388" s="13"/>
      <c r="G388" s="13"/>
      <c r="H388" s="13"/>
      <c r="I388" s="15"/>
      <c r="J388" s="15"/>
    </row>
    <row r="389" spans="1:10" x14ac:dyDescent="0.2">
      <c r="A389" s="13"/>
      <c r="B389" s="14"/>
      <c r="C389" s="13"/>
      <c r="D389" s="13"/>
      <c r="E389" s="13"/>
      <c r="F389" s="13"/>
      <c r="G389" s="13"/>
      <c r="H389" s="13"/>
      <c r="I389" s="15"/>
      <c r="J389" s="15"/>
    </row>
    <row r="390" spans="1:10" hidden="1" x14ac:dyDescent="0.2">
      <c r="A390" s="13" t="s">
        <v>112</v>
      </c>
      <c r="B390" s="14" t="s">
        <v>129</v>
      </c>
      <c r="C390" s="13" t="s">
        <v>44</v>
      </c>
      <c r="D390" s="13" t="s">
        <v>43</v>
      </c>
      <c r="E390" s="13" t="s">
        <v>205</v>
      </c>
      <c r="F390" s="13" t="s">
        <v>189</v>
      </c>
      <c r="G390" s="13" t="s">
        <v>201</v>
      </c>
      <c r="H390" s="13" t="s">
        <v>202</v>
      </c>
      <c r="I390" s="15">
        <v>42707</v>
      </c>
      <c r="J390" s="15">
        <v>42708</v>
      </c>
    </row>
    <row r="391" spans="1:10" hidden="1" x14ac:dyDescent="0.2">
      <c r="A391" s="13" t="s">
        <v>109</v>
      </c>
      <c r="B391" s="14" t="s">
        <v>130</v>
      </c>
      <c r="C391" s="13" t="s">
        <v>44</v>
      </c>
      <c r="D391" s="13" t="s">
        <v>45</v>
      </c>
      <c r="E391" s="13" t="s">
        <v>205</v>
      </c>
      <c r="F391" s="13" t="s">
        <v>189</v>
      </c>
      <c r="G391" s="13" t="s">
        <v>201</v>
      </c>
      <c r="H391" s="13" t="s">
        <v>202</v>
      </c>
      <c r="I391" s="15">
        <v>42707</v>
      </c>
      <c r="J391" s="15">
        <v>42708</v>
      </c>
    </row>
    <row r="392" spans="1:10" x14ac:dyDescent="0.2">
      <c r="A392" s="13"/>
      <c r="B392" s="14"/>
      <c r="C392" s="13"/>
      <c r="D392" s="13"/>
      <c r="E392" s="13"/>
      <c r="F392" s="13"/>
      <c r="G392" s="13"/>
      <c r="H392" s="13"/>
      <c r="I392" s="15"/>
      <c r="J392" s="15"/>
    </row>
    <row r="393" spans="1:10" x14ac:dyDescent="0.2">
      <c r="A393" s="13"/>
      <c r="B393" s="14"/>
      <c r="C393" s="13"/>
      <c r="D393" s="13"/>
      <c r="E393" s="13"/>
      <c r="F393" s="13"/>
      <c r="G393" s="13"/>
      <c r="H393" s="13"/>
      <c r="I393" s="15"/>
      <c r="J393" s="15"/>
    </row>
    <row r="394" spans="1:10" x14ac:dyDescent="0.2">
      <c r="A394" s="13"/>
      <c r="B394" s="14"/>
      <c r="C394" s="13"/>
      <c r="D394" s="13"/>
      <c r="E394" s="13"/>
      <c r="F394" s="13"/>
      <c r="G394" s="13"/>
      <c r="H394" s="13"/>
      <c r="I394" s="15"/>
      <c r="J394" s="15"/>
    </row>
    <row r="395" spans="1:10" x14ac:dyDescent="0.2">
      <c r="A395" s="13"/>
      <c r="B395" s="14"/>
      <c r="C395" s="13"/>
      <c r="D395" s="13"/>
      <c r="E395" s="13"/>
      <c r="F395" s="13"/>
      <c r="G395" s="13"/>
      <c r="H395" s="13"/>
      <c r="I395" s="15"/>
      <c r="J395" s="15"/>
    </row>
    <row r="396" spans="1:10" x14ac:dyDescent="0.2">
      <c r="A396" s="13"/>
      <c r="B396" s="14"/>
      <c r="C396" s="13"/>
      <c r="D396" s="13"/>
      <c r="E396" s="13"/>
      <c r="F396" s="13"/>
      <c r="G396" s="13"/>
      <c r="H396" s="13"/>
      <c r="I396" s="15"/>
      <c r="J396" s="15"/>
    </row>
    <row r="397" spans="1:10" x14ac:dyDescent="0.2">
      <c r="A397" s="13"/>
      <c r="B397" s="14"/>
      <c r="C397" s="13"/>
      <c r="D397" s="13"/>
      <c r="E397" s="13"/>
      <c r="F397" s="13"/>
      <c r="G397" s="13"/>
      <c r="H397" s="13"/>
      <c r="I397" s="15"/>
      <c r="J397" s="15"/>
    </row>
    <row r="398" spans="1:10" x14ac:dyDescent="0.2">
      <c r="A398" s="13"/>
      <c r="B398" s="14"/>
      <c r="C398" s="13"/>
      <c r="D398" s="13"/>
      <c r="E398" s="13"/>
      <c r="F398" s="13"/>
      <c r="G398" s="13"/>
      <c r="H398" s="13"/>
      <c r="I398" s="15"/>
      <c r="J398" s="15"/>
    </row>
    <row r="399" spans="1:10" x14ac:dyDescent="0.2">
      <c r="A399" s="13"/>
      <c r="B399" s="14"/>
      <c r="C399" s="13"/>
      <c r="D399" s="13"/>
      <c r="E399" s="13"/>
      <c r="F399" s="13"/>
      <c r="G399" s="13"/>
      <c r="H399" s="13"/>
      <c r="I399" s="15"/>
      <c r="J399" s="15"/>
    </row>
    <row r="400" spans="1:10" x14ac:dyDescent="0.2">
      <c r="A400" s="13"/>
      <c r="B400" s="14"/>
      <c r="C400" s="13"/>
      <c r="D400" s="13"/>
      <c r="E400" s="13"/>
      <c r="F400" s="13"/>
      <c r="G400" s="13"/>
      <c r="H400" s="13"/>
      <c r="I400" s="15"/>
      <c r="J400" s="15"/>
    </row>
    <row r="401" spans="1:10" x14ac:dyDescent="0.2">
      <c r="A401" s="13"/>
      <c r="B401" s="14"/>
      <c r="C401" s="13"/>
      <c r="D401" s="13"/>
      <c r="E401" s="13"/>
      <c r="F401" s="13"/>
      <c r="G401" s="13"/>
      <c r="H401" s="13"/>
      <c r="I401" s="15"/>
      <c r="J401" s="15"/>
    </row>
    <row r="402" spans="1:10" x14ac:dyDescent="0.2">
      <c r="A402" s="13"/>
      <c r="B402" s="14"/>
      <c r="C402" s="13"/>
      <c r="D402" s="13"/>
      <c r="E402" s="13"/>
      <c r="F402" s="13"/>
      <c r="G402" s="13"/>
      <c r="H402" s="13"/>
      <c r="I402" s="15"/>
      <c r="J402" s="15"/>
    </row>
    <row r="403" spans="1:10" x14ac:dyDescent="0.2">
      <c r="A403" s="13"/>
      <c r="B403" s="14"/>
      <c r="C403" s="13"/>
      <c r="D403" s="13"/>
      <c r="E403" s="13"/>
      <c r="F403" s="13"/>
      <c r="G403" s="13"/>
      <c r="H403" s="13"/>
      <c r="I403" s="15"/>
      <c r="J403" s="15"/>
    </row>
    <row r="404" spans="1:10" x14ac:dyDescent="0.2">
      <c r="A404" s="13"/>
      <c r="B404" s="14"/>
      <c r="C404" s="13"/>
      <c r="D404" s="13"/>
      <c r="E404" s="13"/>
      <c r="F404" s="13"/>
      <c r="G404" s="13"/>
      <c r="H404" s="13"/>
      <c r="I404" s="15"/>
      <c r="J404" s="15"/>
    </row>
    <row r="405" spans="1:10" x14ac:dyDescent="0.2">
      <c r="A405" s="13"/>
      <c r="B405" s="14"/>
      <c r="C405" s="13"/>
      <c r="D405" s="13"/>
      <c r="E405" s="13"/>
      <c r="F405" s="13"/>
      <c r="G405" s="13"/>
      <c r="H405" s="13"/>
      <c r="I405" s="15"/>
      <c r="J405" s="15"/>
    </row>
    <row r="406" spans="1:10" x14ac:dyDescent="0.2">
      <c r="A406" s="13"/>
      <c r="B406" s="14"/>
      <c r="C406" s="13"/>
      <c r="D406" s="13"/>
      <c r="E406" s="13"/>
      <c r="F406" s="13"/>
      <c r="G406" s="13"/>
      <c r="H406" s="13"/>
      <c r="I406" s="15"/>
      <c r="J406" s="15"/>
    </row>
    <row r="407" spans="1:10" x14ac:dyDescent="0.2">
      <c r="A407" s="13"/>
      <c r="B407" s="14"/>
      <c r="C407" s="13"/>
      <c r="D407" s="13"/>
      <c r="E407" s="13"/>
      <c r="F407" s="13"/>
      <c r="G407" s="13"/>
      <c r="H407" s="13"/>
      <c r="I407" s="15"/>
      <c r="J407" s="15"/>
    </row>
    <row r="408" spans="1:10" x14ac:dyDescent="0.2">
      <c r="A408" s="13"/>
      <c r="B408" s="14"/>
      <c r="C408" s="13"/>
      <c r="D408" s="13"/>
      <c r="E408" s="13"/>
      <c r="F408" s="13"/>
      <c r="G408" s="13"/>
      <c r="H408" s="13"/>
      <c r="I408" s="15"/>
      <c r="J408" s="15"/>
    </row>
    <row r="409" spans="1:10" x14ac:dyDescent="0.2">
      <c r="A409" s="13"/>
      <c r="B409" s="14"/>
      <c r="C409" s="13"/>
      <c r="D409" s="13"/>
      <c r="E409" s="13"/>
      <c r="F409" s="13"/>
      <c r="G409" s="13"/>
      <c r="H409" s="13"/>
      <c r="I409" s="15"/>
      <c r="J409" s="15"/>
    </row>
    <row r="410" spans="1:10" x14ac:dyDescent="0.2">
      <c r="A410" s="13"/>
      <c r="B410" s="14"/>
      <c r="C410" s="13"/>
      <c r="D410" s="13"/>
      <c r="E410" s="13"/>
      <c r="F410" s="13"/>
      <c r="G410" s="13"/>
      <c r="H410" s="13"/>
      <c r="I410" s="15"/>
      <c r="J410" s="15"/>
    </row>
    <row r="411" spans="1:10" x14ac:dyDescent="0.2">
      <c r="A411" s="13"/>
      <c r="B411" s="14"/>
      <c r="C411" s="13"/>
      <c r="D411" s="13"/>
      <c r="E411" s="13"/>
      <c r="F411" s="13"/>
      <c r="G411" s="43"/>
      <c r="H411" s="13"/>
      <c r="I411" s="15"/>
      <c r="J411" s="15"/>
    </row>
    <row r="412" spans="1:10" hidden="1" x14ac:dyDescent="0.2">
      <c r="A412" s="13" t="s">
        <v>109</v>
      </c>
      <c r="B412" s="14" t="s">
        <v>116</v>
      </c>
      <c r="C412" s="13" t="s">
        <v>46</v>
      </c>
      <c r="D412" s="13" t="s">
        <v>26</v>
      </c>
      <c r="E412" s="13" t="s">
        <v>205</v>
      </c>
      <c r="F412" s="13" t="s">
        <v>193</v>
      </c>
      <c r="G412" s="13" t="s">
        <v>246</v>
      </c>
      <c r="H412" s="13" t="s">
        <v>247</v>
      </c>
      <c r="I412" s="15">
        <v>42495</v>
      </c>
      <c r="J412" s="15">
        <v>42498</v>
      </c>
    </row>
    <row r="413" spans="1:10" hidden="1" x14ac:dyDescent="0.2">
      <c r="A413" s="13" t="s">
        <v>110</v>
      </c>
      <c r="B413" s="14" t="s">
        <v>120</v>
      </c>
      <c r="C413" s="13" t="s">
        <v>54</v>
      </c>
      <c r="D413" s="13" t="s">
        <v>53</v>
      </c>
      <c r="E413" s="13" t="s">
        <v>205</v>
      </c>
      <c r="F413" s="13" t="s">
        <v>193</v>
      </c>
      <c r="G413" s="13" t="s">
        <v>246</v>
      </c>
      <c r="H413" s="13" t="s">
        <v>247</v>
      </c>
      <c r="I413" s="15">
        <v>42495</v>
      </c>
      <c r="J413" s="15">
        <v>42498</v>
      </c>
    </row>
    <row r="414" spans="1:10" x14ac:dyDescent="0.2">
      <c r="A414" s="13"/>
      <c r="B414" s="14"/>
      <c r="C414" s="13"/>
      <c r="D414" s="13"/>
      <c r="E414" s="13"/>
      <c r="F414" s="13"/>
      <c r="G414" s="13"/>
      <c r="H414" s="13"/>
      <c r="I414" s="15"/>
      <c r="J414" s="15"/>
    </row>
    <row r="415" spans="1:10" x14ac:dyDescent="0.2">
      <c r="A415" s="13"/>
      <c r="B415" s="14"/>
      <c r="C415" s="13"/>
      <c r="D415" s="13"/>
      <c r="E415" s="13"/>
      <c r="F415" s="13"/>
      <c r="G415" s="13"/>
      <c r="H415" s="13"/>
      <c r="I415" s="15"/>
      <c r="J415" s="15"/>
    </row>
    <row r="416" spans="1:10" x14ac:dyDescent="0.2">
      <c r="A416" s="13"/>
      <c r="B416" s="14"/>
      <c r="C416" s="13"/>
      <c r="D416" s="13"/>
      <c r="E416" s="13"/>
      <c r="F416" s="13"/>
      <c r="G416" s="13"/>
      <c r="H416" s="13"/>
      <c r="I416" s="15"/>
      <c r="J416" s="15"/>
    </row>
    <row r="417" spans="1:10" x14ac:dyDescent="0.2">
      <c r="A417" s="13"/>
      <c r="B417" s="14"/>
      <c r="C417" s="13"/>
      <c r="D417" s="13"/>
      <c r="E417" s="13"/>
      <c r="F417" s="13"/>
      <c r="G417" s="13"/>
      <c r="H417" s="13"/>
      <c r="I417" s="15"/>
      <c r="J417" s="15"/>
    </row>
    <row r="418" spans="1:10" x14ac:dyDescent="0.2">
      <c r="A418" s="13"/>
      <c r="B418" s="14"/>
      <c r="C418" s="13"/>
      <c r="D418" s="13"/>
      <c r="E418" s="13"/>
      <c r="F418" s="13"/>
      <c r="G418" s="13"/>
      <c r="H418" s="13"/>
      <c r="I418" s="15"/>
      <c r="J418" s="15"/>
    </row>
    <row r="419" spans="1:10" x14ac:dyDescent="0.2">
      <c r="A419" s="13"/>
      <c r="B419" s="14"/>
      <c r="C419" s="13"/>
      <c r="D419" s="13"/>
      <c r="E419" s="13"/>
      <c r="F419" s="13"/>
      <c r="G419" s="13"/>
      <c r="H419" s="13"/>
      <c r="I419" s="15"/>
      <c r="J419" s="15"/>
    </row>
    <row r="420" spans="1:10" x14ac:dyDescent="0.2">
      <c r="A420" s="13"/>
      <c r="B420" s="14"/>
      <c r="C420" s="13"/>
      <c r="D420" s="13"/>
      <c r="E420" s="13"/>
      <c r="F420" s="13"/>
      <c r="G420" s="13"/>
      <c r="H420" s="13"/>
      <c r="I420" s="15"/>
      <c r="J420" s="15"/>
    </row>
    <row r="421" spans="1:10" x14ac:dyDescent="0.2">
      <c r="A421" s="13"/>
      <c r="B421" s="14"/>
      <c r="C421" s="13"/>
      <c r="D421" s="13"/>
      <c r="E421" s="13"/>
      <c r="F421" s="13"/>
      <c r="G421" s="13"/>
      <c r="H421" s="13"/>
      <c r="I421" s="15"/>
      <c r="J421" s="15"/>
    </row>
    <row r="422" spans="1:10" hidden="1" x14ac:dyDescent="0.2">
      <c r="A422" s="13" t="s">
        <v>110</v>
      </c>
      <c r="B422" s="14" t="s">
        <v>124</v>
      </c>
      <c r="C422" s="13" t="s">
        <v>21</v>
      </c>
      <c r="D422" s="13" t="s">
        <v>20</v>
      </c>
      <c r="E422" s="13" t="s">
        <v>205</v>
      </c>
      <c r="F422" s="13" t="s">
        <v>193</v>
      </c>
      <c r="G422" s="13" t="s">
        <v>136</v>
      </c>
      <c r="H422" s="13" t="s">
        <v>214</v>
      </c>
      <c r="I422" s="15">
        <v>43161</v>
      </c>
      <c r="J422" s="15">
        <v>43163</v>
      </c>
    </row>
    <row r="423" spans="1:10" hidden="1" x14ac:dyDescent="0.2">
      <c r="A423" s="13" t="s">
        <v>109</v>
      </c>
      <c r="B423" s="14" t="s">
        <v>176</v>
      </c>
      <c r="C423" s="13" t="s">
        <v>177</v>
      </c>
      <c r="D423" s="13" t="s">
        <v>178</v>
      </c>
      <c r="E423" s="13" t="s">
        <v>205</v>
      </c>
      <c r="F423" s="13" t="s">
        <v>193</v>
      </c>
      <c r="G423" s="13" t="s">
        <v>136</v>
      </c>
      <c r="H423" s="13" t="s">
        <v>214</v>
      </c>
      <c r="I423" s="15">
        <v>43161</v>
      </c>
      <c r="J423" s="15">
        <v>43163</v>
      </c>
    </row>
    <row r="424" spans="1:10" hidden="1" x14ac:dyDescent="0.2">
      <c r="A424" s="13" t="s">
        <v>110</v>
      </c>
      <c r="B424" s="14" t="s">
        <v>123</v>
      </c>
      <c r="C424" s="13" t="s">
        <v>58</v>
      </c>
      <c r="D424" s="13" t="s">
        <v>31</v>
      </c>
      <c r="E424" s="13" t="s">
        <v>205</v>
      </c>
      <c r="F424" s="13" t="s">
        <v>193</v>
      </c>
      <c r="G424" s="13" t="s">
        <v>136</v>
      </c>
      <c r="H424" s="13" t="s">
        <v>228</v>
      </c>
      <c r="I424" s="15">
        <v>42504</v>
      </c>
      <c r="J424" s="15">
        <v>42506</v>
      </c>
    </row>
    <row r="425" spans="1:10" hidden="1" x14ac:dyDescent="0.2">
      <c r="A425" s="13" t="s">
        <v>109</v>
      </c>
      <c r="B425" s="14" t="s">
        <v>113</v>
      </c>
      <c r="C425" s="13" t="s">
        <v>37</v>
      </c>
      <c r="D425" s="13" t="s">
        <v>22</v>
      </c>
      <c r="E425" s="13" t="s">
        <v>205</v>
      </c>
      <c r="F425" s="13" t="s">
        <v>193</v>
      </c>
      <c r="G425" s="13" t="s">
        <v>136</v>
      </c>
      <c r="H425" s="13" t="s">
        <v>225</v>
      </c>
      <c r="I425" s="15">
        <v>42495</v>
      </c>
      <c r="J425" s="15">
        <v>42497</v>
      </c>
    </row>
    <row r="426" spans="1:10" hidden="1" x14ac:dyDescent="0.2">
      <c r="A426" s="13" t="s">
        <v>112</v>
      </c>
      <c r="B426" s="14" t="s">
        <v>111</v>
      </c>
      <c r="C426" s="13" t="s">
        <v>28</v>
      </c>
      <c r="D426" s="13" t="s">
        <v>27</v>
      </c>
      <c r="E426" s="13" t="s">
        <v>205</v>
      </c>
      <c r="F426" s="13" t="s">
        <v>193</v>
      </c>
      <c r="G426" s="13" t="s">
        <v>136</v>
      </c>
      <c r="H426" s="13" t="s">
        <v>225</v>
      </c>
      <c r="I426" s="15">
        <v>42125</v>
      </c>
      <c r="J426" s="15">
        <v>42127</v>
      </c>
    </row>
    <row r="427" spans="1:10" hidden="1" x14ac:dyDescent="0.2">
      <c r="A427" s="13" t="s">
        <v>109</v>
      </c>
      <c r="B427" s="14" t="s">
        <v>116</v>
      </c>
      <c r="C427" s="13" t="s">
        <v>46</v>
      </c>
      <c r="D427" s="13" t="s">
        <v>26</v>
      </c>
      <c r="E427" s="13" t="s">
        <v>205</v>
      </c>
      <c r="F427" s="13" t="s">
        <v>193</v>
      </c>
      <c r="G427" s="13" t="s">
        <v>136</v>
      </c>
      <c r="H427" s="13" t="s">
        <v>248</v>
      </c>
      <c r="I427" s="15">
        <v>41767</v>
      </c>
      <c r="J427" s="15">
        <v>41769</v>
      </c>
    </row>
    <row r="428" spans="1:10" hidden="1" x14ac:dyDescent="0.2">
      <c r="A428" s="13" t="s">
        <v>112</v>
      </c>
      <c r="B428" s="14" t="s">
        <v>180</v>
      </c>
      <c r="C428" s="13" t="s">
        <v>179</v>
      </c>
      <c r="D428" s="13" t="s">
        <v>34</v>
      </c>
      <c r="E428" s="13" t="s">
        <v>205</v>
      </c>
      <c r="F428" s="13" t="s">
        <v>193</v>
      </c>
      <c r="G428" s="13" t="s">
        <v>136</v>
      </c>
      <c r="H428" s="13" t="s">
        <v>268</v>
      </c>
      <c r="I428" s="15">
        <v>41767</v>
      </c>
      <c r="J428" s="15">
        <v>41769</v>
      </c>
    </row>
    <row r="429" spans="1:10" hidden="1" x14ac:dyDescent="0.2">
      <c r="A429" s="13" t="s">
        <v>112</v>
      </c>
      <c r="B429" s="14" t="s">
        <v>111</v>
      </c>
      <c r="C429" s="13" t="s">
        <v>28</v>
      </c>
      <c r="D429" s="13" t="s">
        <v>27</v>
      </c>
      <c r="E429" s="13" t="s">
        <v>205</v>
      </c>
      <c r="F429" s="13" t="s">
        <v>193</v>
      </c>
      <c r="G429" s="13" t="s">
        <v>136</v>
      </c>
      <c r="H429" s="13" t="s">
        <v>228</v>
      </c>
      <c r="I429" s="15">
        <v>41760</v>
      </c>
      <c r="J429" s="15">
        <v>41762</v>
      </c>
    </row>
    <row r="430" spans="1:10" hidden="1" x14ac:dyDescent="0.2">
      <c r="A430" s="13" t="s">
        <v>112</v>
      </c>
      <c r="B430" s="14" t="s">
        <v>111</v>
      </c>
      <c r="C430" s="13" t="s">
        <v>28</v>
      </c>
      <c r="D430" s="13" t="s">
        <v>27</v>
      </c>
      <c r="E430" s="13" t="s">
        <v>205</v>
      </c>
      <c r="F430" s="13" t="s">
        <v>193</v>
      </c>
      <c r="G430" s="13" t="s">
        <v>136</v>
      </c>
      <c r="H430" s="13" t="s">
        <v>229</v>
      </c>
      <c r="I430" s="15">
        <v>41404</v>
      </c>
      <c r="J430" s="15">
        <v>41406</v>
      </c>
    </row>
    <row r="431" spans="1:10" x14ac:dyDescent="0.2">
      <c r="A431" s="13"/>
      <c r="B431" s="14"/>
      <c r="C431" s="13"/>
      <c r="D431" s="13"/>
      <c r="E431" s="13"/>
      <c r="F431" s="13"/>
      <c r="G431" s="13"/>
      <c r="H431" s="13"/>
      <c r="I431" s="15"/>
      <c r="J431" s="15"/>
    </row>
    <row r="432" spans="1:10" x14ac:dyDescent="0.2">
      <c r="A432" s="13"/>
      <c r="B432" s="14"/>
      <c r="C432" s="13"/>
      <c r="D432" s="13"/>
      <c r="E432" s="13"/>
      <c r="F432" s="13"/>
      <c r="G432" s="13"/>
      <c r="H432" s="13"/>
      <c r="I432" s="15"/>
      <c r="J432" s="15"/>
    </row>
    <row r="433" spans="1:10" x14ac:dyDescent="0.2">
      <c r="A433" s="13"/>
      <c r="B433" s="14"/>
      <c r="C433" s="13"/>
      <c r="D433" s="13"/>
      <c r="E433" s="13"/>
      <c r="F433" s="13"/>
      <c r="G433" s="13"/>
      <c r="H433" s="13"/>
      <c r="I433" s="15"/>
      <c r="J433" s="15"/>
    </row>
    <row r="434" spans="1:10" x14ac:dyDescent="0.2">
      <c r="A434" s="13"/>
      <c r="B434" s="14"/>
      <c r="C434" s="13"/>
      <c r="D434" s="13"/>
      <c r="E434" s="13"/>
      <c r="F434" s="13"/>
      <c r="G434" s="13"/>
      <c r="H434" s="13"/>
      <c r="I434" s="15"/>
      <c r="J434" s="15"/>
    </row>
    <row r="435" spans="1:10" x14ac:dyDescent="0.2">
      <c r="A435" s="13"/>
      <c r="B435" s="14"/>
      <c r="C435" s="13"/>
      <c r="D435" s="13"/>
      <c r="E435" s="13"/>
      <c r="F435" s="13"/>
      <c r="G435" s="13"/>
      <c r="H435" s="13"/>
      <c r="I435" s="15"/>
      <c r="J435" s="15"/>
    </row>
    <row r="436" spans="1:10" x14ac:dyDescent="0.2">
      <c r="A436" s="13"/>
      <c r="B436" s="14"/>
      <c r="C436" s="13"/>
      <c r="D436" s="13"/>
      <c r="E436" s="13"/>
      <c r="F436" s="13"/>
      <c r="G436" s="13"/>
      <c r="H436" s="13"/>
      <c r="I436" s="15"/>
      <c r="J436" s="15"/>
    </row>
    <row r="437" spans="1:10" x14ac:dyDescent="0.2">
      <c r="A437" s="13"/>
      <c r="B437" s="14"/>
      <c r="C437" s="13"/>
      <c r="D437" s="13"/>
      <c r="E437" s="13"/>
      <c r="F437" s="13"/>
      <c r="G437" s="13"/>
      <c r="H437" s="13"/>
      <c r="I437" s="15"/>
      <c r="J437" s="15"/>
    </row>
    <row r="438" spans="1:10" x14ac:dyDescent="0.2">
      <c r="A438" s="13"/>
      <c r="B438" s="14"/>
      <c r="C438" s="13"/>
      <c r="D438" s="13"/>
      <c r="E438" s="13"/>
      <c r="F438" s="13"/>
      <c r="G438" s="13"/>
      <c r="H438" s="13"/>
      <c r="I438" s="15"/>
      <c r="J438" s="15"/>
    </row>
    <row r="439" spans="1:10" x14ac:dyDescent="0.2">
      <c r="A439" s="13"/>
      <c r="B439" s="14"/>
      <c r="C439" s="13"/>
      <c r="D439" s="13"/>
      <c r="E439" s="13"/>
      <c r="F439" s="13"/>
      <c r="G439" s="13"/>
      <c r="H439" s="13"/>
      <c r="I439" s="15"/>
      <c r="J439" s="15"/>
    </row>
    <row r="440" spans="1:10" x14ac:dyDescent="0.2">
      <c r="A440" s="13"/>
      <c r="B440" s="14"/>
      <c r="C440" s="13"/>
      <c r="D440" s="13"/>
      <c r="E440" s="13"/>
      <c r="F440" s="13"/>
      <c r="G440" s="13"/>
      <c r="H440" s="13"/>
      <c r="I440" s="15"/>
      <c r="J440" s="15"/>
    </row>
    <row r="441" spans="1:10" x14ac:dyDescent="0.2">
      <c r="A441" s="13"/>
      <c r="B441" s="14"/>
      <c r="C441" s="13"/>
      <c r="D441" s="13"/>
      <c r="E441" s="13"/>
      <c r="F441" s="13"/>
      <c r="G441" s="13"/>
      <c r="H441" s="13"/>
      <c r="I441" s="15"/>
      <c r="J441" s="15"/>
    </row>
    <row r="442" spans="1:10" x14ac:dyDescent="0.2">
      <c r="A442" s="13"/>
      <c r="B442" s="14"/>
      <c r="C442" s="13"/>
      <c r="D442" s="13"/>
      <c r="E442" s="13"/>
      <c r="F442" s="13"/>
      <c r="G442" s="13"/>
      <c r="H442" s="13"/>
      <c r="I442" s="15"/>
      <c r="J442" s="15"/>
    </row>
    <row r="443" spans="1:10" x14ac:dyDescent="0.2">
      <c r="A443" s="13"/>
      <c r="B443" s="14"/>
      <c r="C443" s="13"/>
      <c r="D443" s="13"/>
      <c r="E443" s="13"/>
      <c r="F443" s="13"/>
      <c r="G443" s="13"/>
      <c r="H443" s="13"/>
      <c r="I443" s="15"/>
      <c r="J443" s="15"/>
    </row>
    <row r="444" spans="1:10" hidden="1" x14ac:dyDescent="0.2">
      <c r="A444" s="13" t="s">
        <v>110</v>
      </c>
      <c r="B444" s="14" t="s">
        <v>125</v>
      </c>
      <c r="C444" s="13" t="s">
        <v>24</v>
      </c>
      <c r="D444" s="13" t="s">
        <v>18</v>
      </c>
      <c r="E444" s="13" t="s">
        <v>205</v>
      </c>
      <c r="F444" s="13" t="s">
        <v>189</v>
      </c>
      <c r="G444" s="13" t="s">
        <v>197</v>
      </c>
      <c r="H444" s="13" t="s">
        <v>198</v>
      </c>
      <c r="I444" s="15">
        <v>43113</v>
      </c>
      <c r="J444" s="15">
        <v>43114</v>
      </c>
    </row>
    <row r="445" spans="1:10" hidden="1" x14ac:dyDescent="0.2">
      <c r="A445" s="13" t="s">
        <v>109</v>
      </c>
      <c r="B445" s="14" t="s">
        <v>116</v>
      </c>
      <c r="C445" s="13" t="s">
        <v>46</v>
      </c>
      <c r="D445" s="13" t="s">
        <v>26</v>
      </c>
      <c r="E445" s="13" t="s">
        <v>205</v>
      </c>
      <c r="F445" s="13" t="s">
        <v>189</v>
      </c>
      <c r="G445" s="13" t="s">
        <v>197</v>
      </c>
      <c r="H445" s="13" t="s">
        <v>198</v>
      </c>
      <c r="I445" s="15">
        <v>43113</v>
      </c>
      <c r="J445" s="15">
        <v>43114</v>
      </c>
    </row>
    <row r="446" spans="1:10" hidden="1" x14ac:dyDescent="0.2">
      <c r="A446" s="13" t="s">
        <v>110</v>
      </c>
      <c r="B446" s="14" t="s">
        <v>122</v>
      </c>
      <c r="C446" s="13" t="s">
        <v>57</v>
      </c>
      <c r="D446" s="13" t="s">
        <v>42</v>
      </c>
      <c r="E446" s="13" t="s">
        <v>205</v>
      </c>
      <c r="F446" s="13" t="s">
        <v>189</v>
      </c>
      <c r="G446" s="13" t="s">
        <v>197</v>
      </c>
      <c r="H446" s="13" t="s">
        <v>198</v>
      </c>
      <c r="I446" s="15">
        <v>43113</v>
      </c>
      <c r="J446" s="15">
        <v>43114</v>
      </c>
    </row>
    <row r="447" spans="1:10" hidden="1" x14ac:dyDescent="0.2">
      <c r="A447" s="13" t="s">
        <v>110</v>
      </c>
      <c r="B447" s="14" t="s">
        <v>123</v>
      </c>
      <c r="C447" s="13" t="s">
        <v>58</v>
      </c>
      <c r="D447" s="13" t="s">
        <v>31</v>
      </c>
      <c r="E447" s="13" t="s">
        <v>25</v>
      </c>
      <c r="F447" s="13" t="s">
        <v>189</v>
      </c>
      <c r="G447" s="13" t="s">
        <v>197</v>
      </c>
      <c r="H447" s="13" t="s">
        <v>198</v>
      </c>
      <c r="I447" s="15">
        <v>43113</v>
      </c>
      <c r="J447" s="15">
        <v>43114</v>
      </c>
    </row>
    <row r="448" spans="1:10" x14ac:dyDescent="0.2">
      <c r="A448" s="13"/>
      <c r="B448" s="14"/>
      <c r="C448" s="13"/>
      <c r="D448" s="13"/>
      <c r="E448" s="13"/>
      <c r="F448" s="13"/>
      <c r="G448" s="13"/>
      <c r="H448" s="13"/>
      <c r="I448" s="15"/>
      <c r="J448" s="15"/>
    </row>
    <row r="449" spans="1:10" x14ac:dyDescent="0.2">
      <c r="A449" s="13"/>
      <c r="B449" s="14"/>
      <c r="C449" s="13"/>
      <c r="D449" s="13"/>
      <c r="E449" s="13"/>
      <c r="F449" s="13"/>
      <c r="G449" s="13"/>
      <c r="H449" s="13"/>
      <c r="I449" s="15"/>
      <c r="J449" s="15"/>
    </row>
    <row r="450" spans="1:10" x14ac:dyDescent="0.2">
      <c r="A450" s="13"/>
      <c r="B450" s="14"/>
      <c r="C450" s="13"/>
      <c r="D450" s="13"/>
      <c r="E450" s="13"/>
      <c r="F450" s="13"/>
      <c r="G450" s="13"/>
      <c r="H450" s="13"/>
      <c r="I450" s="15"/>
      <c r="J450" s="15"/>
    </row>
    <row r="451" spans="1:10" x14ac:dyDescent="0.2">
      <c r="A451" s="13"/>
      <c r="B451" s="14"/>
      <c r="C451" s="13"/>
      <c r="D451" s="13"/>
      <c r="E451" s="13"/>
      <c r="F451" s="13"/>
      <c r="G451" s="13"/>
      <c r="H451" s="13"/>
      <c r="I451" s="15"/>
      <c r="J451" s="15"/>
    </row>
    <row r="452" spans="1:10" x14ac:dyDescent="0.2">
      <c r="A452" s="13"/>
      <c r="B452" s="14"/>
      <c r="C452" s="13"/>
      <c r="D452" s="13"/>
      <c r="E452" s="13"/>
      <c r="F452" s="13"/>
      <c r="G452" s="13"/>
      <c r="H452" s="13"/>
      <c r="I452" s="15"/>
      <c r="J452" s="15"/>
    </row>
    <row r="453" spans="1:10" x14ac:dyDescent="0.2">
      <c r="A453" s="13"/>
      <c r="B453" s="14"/>
      <c r="C453" s="13"/>
      <c r="D453" s="13"/>
      <c r="E453" s="13"/>
      <c r="F453" s="13"/>
      <c r="G453" s="13"/>
      <c r="H453" s="13"/>
      <c r="I453" s="15"/>
      <c r="J453" s="15"/>
    </row>
    <row r="454" spans="1:10" x14ac:dyDescent="0.2">
      <c r="A454" s="13"/>
      <c r="B454" s="14"/>
      <c r="C454" s="13"/>
      <c r="D454" s="13"/>
      <c r="E454" s="13"/>
      <c r="F454" s="13"/>
      <c r="G454" s="13"/>
      <c r="H454" s="13"/>
      <c r="I454" s="15"/>
      <c r="J454" s="15"/>
    </row>
    <row r="455" spans="1:10" x14ac:dyDescent="0.2">
      <c r="A455" s="13"/>
      <c r="B455" s="14"/>
      <c r="C455" s="13"/>
      <c r="D455" s="13"/>
      <c r="E455" s="13"/>
      <c r="F455" s="13"/>
      <c r="G455" s="13"/>
      <c r="H455" s="13"/>
      <c r="I455" s="15"/>
      <c r="J455" s="15"/>
    </row>
    <row r="456" spans="1:10" x14ac:dyDescent="0.2">
      <c r="A456" s="13"/>
      <c r="B456" s="14"/>
      <c r="C456" s="13"/>
      <c r="D456" s="13"/>
      <c r="E456" s="13"/>
      <c r="F456" s="13"/>
      <c r="G456" s="13"/>
      <c r="H456" s="13"/>
      <c r="I456" s="15"/>
      <c r="J456" s="15"/>
    </row>
    <row r="457" spans="1:10" hidden="1" x14ac:dyDescent="0.2">
      <c r="A457" s="13" t="s">
        <v>109</v>
      </c>
      <c r="B457" s="14" t="s">
        <v>131</v>
      </c>
      <c r="C457" s="13" t="s">
        <v>49</v>
      </c>
      <c r="D457" s="13" t="s">
        <v>48</v>
      </c>
      <c r="E457" s="13" t="s">
        <v>205</v>
      </c>
      <c r="F457" s="13" t="s">
        <v>187</v>
      </c>
      <c r="G457" s="13" t="s">
        <v>215</v>
      </c>
      <c r="H457" s="13" t="s">
        <v>216</v>
      </c>
      <c r="I457" s="15">
        <v>42833</v>
      </c>
      <c r="J457" s="15">
        <v>42841</v>
      </c>
    </row>
    <row r="458" spans="1:10" x14ac:dyDescent="0.2">
      <c r="A458" s="13"/>
      <c r="B458" s="14"/>
      <c r="C458" s="13"/>
      <c r="D458" s="13"/>
      <c r="E458" s="13"/>
      <c r="F458" s="13"/>
      <c r="G458" s="13"/>
      <c r="H458" s="13"/>
      <c r="I458" s="15"/>
      <c r="J458" s="15"/>
    </row>
    <row r="459" spans="1:10" x14ac:dyDescent="0.2">
      <c r="A459" s="13"/>
      <c r="B459" s="14"/>
      <c r="C459" s="13"/>
      <c r="D459" s="13"/>
      <c r="E459" s="13"/>
      <c r="F459" s="13"/>
      <c r="G459" s="13"/>
      <c r="H459" s="13"/>
      <c r="I459" s="15"/>
      <c r="J459" s="15"/>
    </row>
    <row r="460" spans="1:10" x14ac:dyDescent="0.2">
      <c r="A460" s="13"/>
      <c r="B460" s="14"/>
      <c r="C460" s="13"/>
      <c r="D460" s="13"/>
      <c r="E460" s="13"/>
      <c r="F460" s="13"/>
      <c r="G460" s="13"/>
      <c r="H460" s="13"/>
      <c r="I460" s="15"/>
      <c r="J460" s="15"/>
    </row>
    <row r="461" spans="1:10" x14ac:dyDescent="0.2">
      <c r="A461" s="13"/>
      <c r="B461" s="14"/>
      <c r="C461" s="13"/>
      <c r="D461" s="13"/>
      <c r="E461" s="13"/>
      <c r="F461" s="13"/>
      <c r="G461" s="13"/>
      <c r="H461" s="13"/>
      <c r="I461" s="15"/>
      <c r="J461" s="15"/>
    </row>
    <row r="462" spans="1:10" x14ac:dyDescent="0.2">
      <c r="A462" s="13"/>
      <c r="B462" s="14"/>
      <c r="C462" s="13"/>
      <c r="D462" s="13"/>
      <c r="E462" s="13"/>
      <c r="F462" s="13"/>
      <c r="G462" s="13"/>
      <c r="H462" s="13"/>
      <c r="I462" s="15"/>
      <c r="J462" s="15"/>
    </row>
    <row r="463" spans="1:10" x14ac:dyDescent="0.2">
      <c r="A463" s="13"/>
      <c r="B463" s="14"/>
      <c r="C463" s="13"/>
      <c r="D463" s="13"/>
      <c r="E463" s="13"/>
      <c r="F463" s="13"/>
      <c r="G463" s="13"/>
      <c r="H463" s="13"/>
      <c r="I463" s="15"/>
      <c r="J463" s="15"/>
    </row>
    <row r="464" spans="1:10" hidden="1" x14ac:dyDescent="0.2">
      <c r="A464" s="13" t="s">
        <v>112</v>
      </c>
      <c r="B464" s="14" t="s">
        <v>118</v>
      </c>
      <c r="C464" s="13" t="s">
        <v>50</v>
      </c>
      <c r="D464" s="13" t="s">
        <v>42</v>
      </c>
      <c r="E464" s="13" t="s">
        <v>205</v>
      </c>
      <c r="F464" s="13" t="s">
        <v>187</v>
      </c>
      <c r="G464" s="13" t="s">
        <v>3</v>
      </c>
      <c r="H464" s="13" t="s">
        <v>250</v>
      </c>
      <c r="I464" s="15">
        <v>43156</v>
      </c>
      <c r="J464" s="15">
        <v>43163</v>
      </c>
    </row>
    <row r="465" spans="1:10" hidden="1" x14ac:dyDescent="0.2">
      <c r="A465" s="13" t="s">
        <v>112</v>
      </c>
      <c r="B465" s="14" t="s">
        <v>118</v>
      </c>
      <c r="C465" s="13" t="s">
        <v>50</v>
      </c>
      <c r="D465" s="13" t="s">
        <v>42</v>
      </c>
      <c r="E465" s="13" t="s">
        <v>205</v>
      </c>
      <c r="F465" s="13" t="s">
        <v>187</v>
      </c>
      <c r="G465" s="13" t="s">
        <v>3</v>
      </c>
      <c r="H465" s="13" t="s">
        <v>250</v>
      </c>
      <c r="I465" s="15">
        <v>42477</v>
      </c>
      <c r="J465" s="15">
        <v>42484</v>
      </c>
    </row>
    <row r="466" spans="1:10" hidden="1" x14ac:dyDescent="0.2">
      <c r="A466" s="13" t="s">
        <v>109</v>
      </c>
      <c r="B466" s="14" t="s">
        <v>119</v>
      </c>
      <c r="C466" s="13" t="s">
        <v>50</v>
      </c>
      <c r="D466" s="13" t="s">
        <v>29</v>
      </c>
      <c r="E466" s="13" t="s">
        <v>205</v>
      </c>
      <c r="F466" s="13" t="s">
        <v>187</v>
      </c>
      <c r="G466" s="13" t="s">
        <v>3</v>
      </c>
      <c r="H466" s="13" t="s">
        <v>259</v>
      </c>
      <c r="I466" s="15">
        <v>42050</v>
      </c>
      <c r="J466" s="15">
        <v>42057</v>
      </c>
    </row>
    <row r="467" spans="1:10" hidden="1" x14ac:dyDescent="0.2">
      <c r="A467" s="13" t="s">
        <v>112</v>
      </c>
      <c r="B467" s="14" t="s">
        <v>118</v>
      </c>
      <c r="C467" s="13" t="s">
        <v>50</v>
      </c>
      <c r="D467" s="13" t="s">
        <v>42</v>
      </c>
      <c r="E467" s="13" t="s">
        <v>205</v>
      </c>
      <c r="F467" s="13" t="s">
        <v>187</v>
      </c>
      <c r="G467" s="13" t="s">
        <v>3</v>
      </c>
      <c r="H467" s="13" t="s">
        <v>254</v>
      </c>
      <c r="I467" s="15">
        <v>41392</v>
      </c>
      <c r="J467" s="15">
        <v>41399</v>
      </c>
    </row>
    <row r="468" spans="1:10" x14ac:dyDescent="0.2">
      <c r="A468" s="13"/>
      <c r="B468" s="14"/>
      <c r="C468" s="13"/>
      <c r="D468" s="13"/>
      <c r="E468" s="13"/>
      <c r="F468" s="13"/>
      <c r="G468" s="13"/>
      <c r="H468" s="13"/>
      <c r="I468" s="15"/>
      <c r="J468" s="15"/>
    </row>
    <row r="469" spans="1:10" x14ac:dyDescent="0.2">
      <c r="A469" s="13"/>
      <c r="B469" s="14"/>
      <c r="C469" s="13"/>
      <c r="D469" s="13"/>
      <c r="E469" s="13"/>
      <c r="F469" s="13"/>
      <c r="G469" s="13"/>
      <c r="H469" s="13"/>
      <c r="I469" s="15"/>
      <c r="J469" s="15"/>
    </row>
    <row r="470" spans="1:10" x14ac:dyDescent="0.2">
      <c r="A470" s="13"/>
      <c r="B470" s="14"/>
      <c r="C470" s="13"/>
      <c r="D470" s="13"/>
      <c r="E470" s="13"/>
      <c r="F470" s="13"/>
      <c r="G470" s="13"/>
      <c r="H470" s="13"/>
      <c r="I470" s="15"/>
      <c r="J470" s="15"/>
    </row>
    <row r="471" spans="1:10" x14ac:dyDescent="0.2">
      <c r="A471" s="13"/>
      <c r="B471" s="14"/>
      <c r="C471" s="13"/>
      <c r="D471" s="13"/>
      <c r="E471" s="13"/>
      <c r="F471" s="13"/>
      <c r="G471" s="13"/>
      <c r="H471" s="13"/>
      <c r="I471" s="15"/>
      <c r="J471" s="15"/>
    </row>
    <row r="472" spans="1:10" x14ac:dyDescent="0.2">
      <c r="A472" s="13"/>
      <c r="B472" s="14"/>
      <c r="C472" s="13"/>
      <c r="D472" s="13"/>
      <c r="E472" s="13"/>
      <c r="F472" s="13"/>
      <c r="G472" s="13"/>
      <c r="H472" s="13"/>
      <c r="I472" s="15"/>
      <c r="J472" s="15"/>
    </row>
    <row r="473" spans="1:10" x14ac:dyDescent="0.2">
      <c r="A473" s="13"/>
      <c r="B473" s="14"/>
      <c r="C473" s="13"/>
      <c r="D473" s="13"/>
      <c r="E473" s="13"/>
      <c r="F473" s="13"/>
      <c r="G473" s="13"/>
      <c r="H473" s="13"/>
      <c r="I473" s="15"/>
      <c r="J473" s="15"/>
    </row>
    <row r="474" spans="1:10" x14ac:dyDescent="0.2">
      <c r="A474" s="13"/>
      <c r="B474" s="14"/>
      <c r="C474" s="13"/>
      <c r="D474" s="13"/>
      <c r="E474" s="13"/>
      <c r="F474" s="13"/>
      <c r="G474" s="13"/>
      <c r="H474" s="13"/>
      <c r="I474" s="15"/>
      <c r="J474" s="15"/>
    </row>
    <row r="475" spans="1:10" x14ac:dyDescent="0.2">
      <c r="A475" s="13"/>
      <c r="B475" s="14"/>
      <c r="C475" s="13"/>
      <c r="D475" s="13"/>
      <c r="E475" s="13"/>
      <c r="F475" s="13"/>
      <c r="G475" s="13"/>
      <c r="H475" s="13"/>
      <c r="I475" s="15"/>
      <c r="J475" s="15"/>
    </row>
    <row r="476" spans="1:10" x14ac:dyDescent="0.2">
      <c r="A476" s="13"/>
      <c r="B476" s="14"/>
      <c r="C476" s="13"/>
      <c r="D476" s="13"/>
      <c r="E476" s="13"/>
      <c r="F476" s="13"/>
      <c r="G476" s="13"/>
      <c r="H476" s="13"/>
      <c r="I476" s="15"/>
      <c r="J476" s="15"/>
    </row>
    <row r="477" spans="1:10" x14ac:dyDescent="0.2">
      <c r="A477" s="13"/>
      <c r="B477" s="14"/>
      <c r="C477" s="13"/>
      <c r="D477" s="13"/>
      <c r="E477" s="13"/>
      <c r="F477" s="13"/>
      <c r="G477" s="13"/>
      <c r="H477" s="13"/>
      <c r="I477" s="15"/>
      <c r="J477" s="15"/>
    </row>
    <row r="478" spans="1:10" x14ac:dyDescent="0.2">
      <c r="A478" s="13"/>
      <c r="B478" s="14"/>
      <c r="C478" s="13"/>
      <c r="D478" s="13"/>
      <c r="E478" s="13"/>
      <c r="F478" s="13"/>
      <c r="G478" s="13"/>
      <c r="H478" s="13"/>
      <c r="I478" s="15"/>
      <c r="J478" s="15"/>
    </row>
    <row r="479" spans="1:10" x14ac:dyDescent="0.2">
      <c r="A479" s="13"/>
      <c r="B479" s="14"/>
      <c r="C479" s="13"/>
      <c r="D479" s="13"/>
      <c r="E479" s="13"/>
      <c r="F479" s="13"/>
      <c r="G479" s="13"/>
      <c r="H479" s="13"/>
      <c r="I479" s="15"/>
      <c r="J479" s="15"/>
    </row>
    <row r="480" spans="1:10" x14ac:dyDescent="0.2">
      <c r="A480" s="13"/>
      <c r="B480" s="14"/>
      <c r="C480" s="13"/>
      <c r="D480" s="13"/>
      <c r="E480" s="13"/>
      <c r="F480" s="13"/>
      <c r="G480" s="13"/>
      <c r="H480" s="13"/>
      <c r="I480" s="15"/>
      <c r="J480" s="15"/>
    </row>
    <row r="481" spans="1:10" x14ac:dyDescent="0.2">
      <c r="A481" s="13"/>
      <c r="B481" s="14"/>
      <c r="C481" s="13"/>
      <c r="D481" s="13"/>
      <c r="E481" s="13"/>
      <c r="F481" s="13"/>
      <c r="G481" s="13"/>
      <c r="H481" s="13"/>
      <c r="I481" s="15"/>
      <c r="J481" s="15"/>
    </row>
    <row r="482" spans="1:10" x14ac:dyDescent="0.2">
      <c r="A482" s="13"/>
      <c r="B482" s="14"/>
      <c r="C482" s="13"/>
      <c r="D482" s="13"/>
      <c r="E482" s="13"/>
      <c r="F482" s="13"/>
      <c r="G482" s="13"/>
      <c r="H482" s="13"/>
      <c r="I482" s="15"/>
      <c r="J482" s="15"/>
    </row>
    <row r="483" spans="1:10" x14ac:dyDescent="0.2">
      <c r="A483" s="13"/>
      <c r="B483" s="14"/>
      <c r="C483" s="13"/>
      <c r="D483" s="13"/>
      <c r="E483" s="13"/>
      <c r="F483" s="13"/>
      <c r="G483" s="13"/>
      <c r="H483" s="13"/>
      <c r="I483" s="15"/>
      <c r="J483" s="15"/>
    </row>
    <row r="484" spans="1:10" x14ac:dyDescent="0.2">
      <c r="A484" s="13"/>
      <c r="B484" s="14"/>
      <c r="C484" s="13"/>
      <c r="D484" s="13"/>
      <c r="E484" s="13"/>
      <c r="F484" s="13"/>
      <c r="G484" s="13"/>
      <c r="H484" s="13"/>
      <c r="I484" s="15"/>
      <c r="J484" s="15"/>
    </row>
    <row r="485" spans="1:10" x14ac:dyDescent="0.2">
      <c r="A485" s="13"/>
      <c r="B485" s="14"/>
      <c r="C485" s="13"/>
      <c r="D485" s="13"/>
      <c r="E485" s="13"/>
      <c r="F485" s="13"/>
      <c r="G485" s="13"/>
      <c r="H485" s="13"/>
      <c r="I485" s="15"/>
      <c r="J485" s="15"/>
    </row>
    <row r="486" spans="1:10" x14ac:dyDescent="0.2">
      <c r="A486" s="13"/>
      <c r="B486" s="14"/>
      <c r="C486" s="13"/>
      <c r="D486" s="13"/>
      <c r="E486" s="13"/>
      <c r="F486" s="13"/>
      <c r="G486" s="13"/>
      <c r="H486" s="13"/>
      <c r="I486" s="15"/>
      <c r="J486" s="15"/>
    </row>
    <row r="487" spans="1:10" x14ac:dyDescent="0.2">
      <c r="A487" s="13"/>
      <c r="B487" s="14"/>
      <c r="C487" s="13"/>
      <c r="D487" s="13"/>
      <c r="E487" s="13"/>
      <c r="F487" s="13"/>
      <c r="G487" s="13"/>
      <c r="H487" s="13"/>
      <c r="I487" s="15"/>
      <c r="J487" s="15"/>
    </row>
    <row r="488" spans="1:10" x14ac:dyDescent="0.2">
      <c r="A488" s="13"/>
      <c r="B488" s="14"/>
      <c r="C488" s="13"/>
      <c r="D488" s="13"/>
      <c r="E488" s="13"/>
      <c r="F488" s="13"/>
      <c r="G488" s="13"/>
      <c r="H488" s="13"/>
      <c r="I488" s="15"/>
      <c r="J488" s="15"/>
    </row>
    <row r="489" spans="1:10" x14ac:dyDescent="0.2">
      <c r="A489" s="13"/>
      <c r="B489" s="14"/>
      <c r="C489" s="13"/>
      <c r="D489" s="13"/>
      <c r="E489" s="13"/>
      <c r="F489" s="13"/>
      <c r="G489" s="13"/>
      <c r="H489" s="13"/>
      <c r="I489" s="15"/>
      <c r="J489" s="15"/>
    </row>
    <row r="490" spans="1:10" x14ac:dyDescent="0.2">
      <c r="A490" s="13"/>
      <c r="B490" s="14"/>
      <c r="C490" s="13"/>
      <c r="D490" s="13"/>
      <c r="E490" s="13"/>
      <c r="F490" s="13"/>
      <c r="G490" s="13"/>
      <c r="H490" s="13"/>
      <c r="I490" s="15"/>
      <c r="J490" s="15"/>
    </row>
    <row r="491" spans="1:10" x14ac:dyDescent="0.2">
      <c r="A491" s="13"/>
      <c r="B491" s="14"/>
      <c r="C491" s="13"/>
      <c r="D491" s="13"/>
      <c r="E491" s="13"/>
      <c r="F491" s="13"/>
      <c r="G491" s="13"/>
      <c r="H491" s="13"/>
      <c r="I491" s="15"/>
      <c r="J491" s="15"/>
    </row>
    <row r="492" spans="1:10" x14ac:dyDescent="0.2">
      <c r="A492" s="13"/>
      <c r="B492" s="14"/>
      <c r="C492" s="13"/>
      <c r="D492" s="13"/>
      <c r="E492" s="13"/>
      <c r="F492" s="13"/>
      <c r="G492" s="13"/>
      <c r="H492" s="13"/>
      <c r="I492" s="15"/>
      <c r="J492" s="15"/>
    </row>
    <row r="493" spans="1:10" x14ac:dyDescent="0.2">
      <c r="A493" s="13"/>
      <c r="B493" s="14"/>
      <c r="C493" s="13"/>
      <c r="D493" s="13"/>
      <c r="E493" s="13"/>
      <c r="F493" s="13"/>
      <c r="G493" s="13"/>
      <c r="H493" s="13"/>
      <c r="I493" s="15"/>
      <c r="J493" s="15"/>
    </row>
    <row r="494" spans="1:10" x14ac:dyDescent="0.2">
      <c r="A494" s="13"/>
      <c r="B494" s="14"/>
      <c r="C494" s="13"/>
      <c r="D494" s="13"/>
      <c r="E494" s="13"/>
      <c r="F494" s="13"/>
      <c r="G494" s="13"/>
      <c r="H494" s="13"/>
      <c r="I494" s="15"/>
      <c r="J494" s="15"/>
    </row>
    <row r="495" spans="1:10" x14ac:dyDescent="0.2">
      <c r="A495" s="13"/>
      <c r="B495" s="14"/>
      <c r="C495" s="13"/>
      <c r="D495" s="13"/>
      <c r="E495" s="13"/>
      <c r="F495" s="13"/>
      <c r="G495" s="13"/>
      <c r="H495" s="13"/>
      <c r="I495" s="15"/>
      <c r="J495" s="15"/>
    </row>
    <row r="496" spans="1:10" x14ac:dyDescent="0.2">
      <c r="A496" s="13"/>
      <c r="B496" s="14"/>
      <c r="C496" s="13"/>
      <c r="D496" s="13"/>
      <c r="E496" s="13"/>
      <c r="F496" s="13"/>
      <c r="G496" s="13"/>
      <c r="H496" s="13"/>
      <c r="I496" s="15"/>
      <c r="J496" s="15"/>
    </row>
    <row r="497" spans="1:10" x14ac:dyDescent="0.2">
      <c r="A497" s="13"/>
      <c r="B497" s="14"/>
      <c r="C497" s="13"/>
      <c r="D497" s="13"/>
      <c r="E497" s="13"/>
      <c r="F497" s="13"/>
      <c r="G497" s="13"/>
      <c r="H497" s="13"/>
      <c r="I497" s="15"/>
      <c r="J497" s="15"/>
    </row>
    <row r="498" spans="1:10" x14ac:dyDescent="0.2">
      <c r="A498" s="13"/>
      <c r="B498" s="14"/>
      <c r="C498" s="13"/>
      <c r="D498" s="13"/>
      <c r="E498" s="13"/>
      <c r="F498" s="13"/>
      <c r="G498" s="13"/>
      <c r="H498" s="13"/>
      <c r="I498" s="15"/>
      <c r="J498" s="15"/>
    </row>
    <row r="499" spans="1:10" x14ac:dyDescent="0.2">
      <c r="A499" s="13"/>
      <c r="B499" s="14"/>
      <c r="C499" s="13"/>
      <c r="D499" s="13"/>
      <c r="E499" s="13"/>
      <c r="F499" s="13"/>
      <c r="G499" s="13"/>
      <c r="H499" s="13"/>
      <c r="I499" s="15"/>
      <c r="J499" s="15"/>
    </row>
    <row r="500" spans="1:10" x14ac:dyDescent="0.2">
      <c r="A500" s="13"/>
      <c r="B500" s="14"/>
      <c r="C500" s="13"/>
      <c r="D500" s="13"/>
      <c r="E500" s="13"/>
      <c r="F500" s="13"/>
      <c r="G500" s="13"/>
      <c r="H500" s="13"/>
      <c r="I500" s="15"/>
      <c r="J500" s="15"/>
    </row>
    <row r="501" spans="1:10" x14ac:dyDescent="0.2">
      <c r="A501" s="13"/>
      <c r="B501" s="14"/>
      <c r="C501" s="13"/>
      <c r="D501" s="13"/>
      <c r="E501" s="13"/>
      <c r="F501" s="13"/>
      <c r="G501" s="13"/>
      <c r="H501" s="13"/>
      <c r="I501" s="15"/>
      <c r="J501" s="15"/>
    </row>
    <row r="502" spans="1:10" x14ac:dyDescent="0.2">
      <c r="A502" s="13"/>
      <c r="B502" s="14"/>
      <c r="C502" s="13"/>
      <c r="D502" s="13"/>
      <c r="E502" s="13"/>
      <c r="F502" s="13"/>
      <c r="G502" s="13"/>
      <c r="H502" s="13"/>
      <c r="I502" s="15"/>
      <c r="J502" s="15"/>
    </row>
    <row r="503" spans="1:10" x14ac:dyDescent="0.2">
      <c r="A503" s="13"/>
      <c r="B503" s="14"/>
      <c r="C503" s="13"/>
      <c r="D503" s="13"/>
      <c r="E503" s="13"/>
      <c r="F503" s="13"/>
      <c r="G503" s="13"/>
      <c r="H503" s="13"/>
      <c r="I503" s="15"/>
      <c r="J503" s="15"/>
    </row>
    <row r="504" spans="1:10" x14ac:dyDescent="0.2">
      <c r="A504" s="13"/>
      <c r="B504" s="14"/>
      <c r="C504" s="13"/>
      <c r="D504" s="13"/>
      <c r="E504" s="13"/>
      <c r="F504" s="13"/>
      <c r="G504" s="13"/>
      <c r="H504" s="13"/>
      <c r="I504" s="15"/>
      <c r="J504" s="15"/>
    </row>
    <row r="505" spans="1:10" x14ac:dyDescent="0.2">
      <c r="A505" s="13"/>
      <c r="B505" s="14"/>
      <c r="C505" s="13"/>
      <c r="D505" s="13"/>
      <c r="E505" s="13"/>
      <c r="F505" s="13"/>
      <c r="G505" s="13"/>
      <c r="H505" s="13"/>
      <c r="I505" s="15"/>
      <c r="J505" s="15"/>
    </row>
    <row r="506" spans="1:10" x14ac:dyDescent="0.2">
      <c r="A506" s="13"/>
      <c r="B506" s="14"/>
      <c r="C506" s="13"/>
      <c r="D506" s="13"/>
      <c r="E506" s="13"/>
      <c r="F506" s="13"/>
      <c r="G506" s="13"/>
      <c r="H506" s="13"/>
      <c r="I506" s="15"/>
      <c r="J506" s="15"/>
    </row>
    <row r="507" spans="1:10" x14ac:dyDescent="0.2">
      <c r="A507" s="13"/>
      <c r="B507" s="14"/>
      <c r="C507" s="13"/>
      <c r="D507" s="13"/>
      <c r="E507" s="13"/>
      <c r="F507" s="13"/>
      <c r="G507" s="13"/>
      <c r="H507" s="13"/>
      <c r="I507" s="15"/>
      <c r="J507" s="15"/>
    </row>
    <row r="508" spans="1:10" x14ac:dyDescent="0.2">
      <c r="A508" s="13"/>
      <c r="B508" s="14"/>
      <c r="C508" s="13"/>
      <c r="D508" s="13"/>
      <c r="E508" s="13"/>
      <c r="F508" s="13"/>
      <c r="G508" s="13"/>
      <c r="H508" s="13"/>
      <c r="I508" s="15"/>
      <c r="J508" s="15"/>
    </row>
    <row r="509" spans="1:10" x14ac:dyDescent="0.2">
      <c r="A509" s="13"/>
      <c r="B509" s="14"/>
      <c r="C509" s="13"/>
      <c r="D509" s="13"/>
      <c r="E509" s="13"/>
      <c r="F509" s="13"/>
      <c r="G509" s="13"/>
      <c r="H509" s="13"/>
      <c r="I509" s="15"/>
      <c r="J509" s="15"/>
    </row>
    <row r="510" spans="1:10" x14ac:dyDescent="0.2">
      <c r="A510" s="13"/>
      <c r="B510" s="14"/>
      <c r="C510" s="13"/>
      <c r="D510" s="13"/>
      <c r="E510" s="13"/>
      <c r="F510" s="13"/>
      <c r="G510" s="13"/>
      <c r="H510" s="13"/>
      <c r="I510" s="15"/>
      <c r="J510" s="15"/>
    </row>
    <row r="511" spans="1:10" x14ac:dyDescent="0.2">
      <c r="A511" s="13"/>
      <c r="B511" s="14"/>
      <c r="C511" s="13"/>
      <c r="D511" s="13"/>
      <c r="E511" s="13"/>
      <c r="F511" s="13"/>
      <c r="G511" s="13"/>
      <c r="H511" s="13"/>
      <c r="I511" s="15"/>
      <c r="J511" s="15"/>
    </row>
    <row r="512" spans="1:10" x14ac:dyDescent="0.2">
      <c r="A512" s="13"/>
      <c r="B512" s="14"/>
      <c r="C512" s="13"/>
      <c r="D512" s="13"/>
      <c r="E512" s="13"/>
      <c r="F512" s="13"/>
      <c r="G512" s="13"/>
      <c r="H512" s="13"/>
      <c r="I512" s="15"/>
      <c r="J512" s="15"/>
    </row>
    <row r="513" spans="1:10" x14ac:dyDescent="0.2">
      <c r="A513" s="13"/>
      <c r="B513" s="14"/>
      <c r="C513" s="13"/>
      <c r="D513" s="13"/>
      <c r="E513" s="13"/>
      <c r="F513" s="13"/>
      <c r="G513" s="13"/>
      <c r="H513" s="13"/>
      <c r="I513" s="15"/>
      <c r="J513" s="15"/>
    </row>
    <row r="514" spans="1:10" x14ac:dyDescent="0.2">
      <c r="A514" s="13"/>
      <c r="B514" s="14"/>
      <c r="C514" s="13"/>
      <c r="D514" s="13"/>
      <c r="E514" s="13"/>
      <c r="F514" s="13"/>
      <c r="G514" s="13"/>
      <c r="H514" s="13"/>
      <c r="I514" s="15"/>
      <c r="J514" s="15"/>
    </row>
    <row r="515" spans="1:10" x14ac:dyDescent="0.2">
      <c r="A515" s="13"/>
      <c r="B515" s="14"/>
      <c r="C515" s="13"/>
      <c r="D515" s="13"/>
      <c r="E515" s="13"/>
      <c r="F515" s="13"/>
      <c r="G515" s="13"/>
      <c r="H515" s="13"/>
      <c r="I515" s="15"/>
      <c r="J515" s="15"/>
    </row>
    <row r="516" spans="1:10" x14ac:dyDescent="0.2">
      <c r="A516" s="13"/>
      <c r="B516" s="14"/>
      <c r="C516" s="13"/>
      <c r="D516" s="13"/>
      <c r="E516" s="13"/>
      <c r="F516" s="13"/>
      <c r="G516" s="13"/>
      <c r="H516" s="13"/>
      <c r="I516" s="15"/>
      <c r="J516" s="15"/>
    </row>
    <row r="517" spans="1:10" x14ac:dyDescent="0.2">
      <c r="A517" s="13"/>
      <c r="B517" s="14"/>
      <c r="C517" s="13"/>
      <c r="D517" s="13"/>
      <c r="E517" s="13"/>
      <c r="F517" s="13"/>
      <c r="G517" s="13"/>
      <c r="H517" s="13"/>
      <c r="I517" s="15"/>
      <c r="J517" s="15"/>
    </row>
    <row r="518" spans="1:10" x14ac:dyDescent="0.2">
      <c r="A518" s="13"/>
      <c r="B518" s="14"/>
      <c r="C518" s="13"/>
      <c r="D518" s="13"/>
      <c r="E518" s="13"/>
      <c r="F518" s="13"/>
      <c r="G518" s="13"/>
      <c r="H518" s="13"/>
      <c r="I518" s="15"/>
      <c r="J518" s="15"/>
    </row>
    <row r="519" spans="1:10" x14ac:dyDescent="0.2">
      <c r="A519" s="13"/>
      <c r="B519" s="14"/>
      <c r="C519" s="13"/>
      <c r="D519" s="13"/>
      <c r="E519" s="13"/>
      <c r="F519" s="13"/>
      <c r="G519" s="13"/>
      <c r="H519" s="13"/>
      <c r="I519" s="15"/>
      <c r="J519" s="15"/>
    </row>
    <row r="520" spans="1:10" x14ac:dyDescent="0.2">
      <c r="A520" s="13"/>
      <c r="B520" s="14"/>
      <c r="C520" s="13"/>
      <c r="D520" s="13"/>
      <c r="E520" s="13"/>
      <c r="F520" s="13"/>
      <c r="G520" s="13"/>
      <c r="H520" s="13"/>
      <c r="I520" s="15"/>
      <c r="J520" s="15"/>
    </row>
    <row r="521" spans="1:10" x14ac:dyDescent="0.2">
      <c r="A521" s="13"/>
      <c r="B521" s="14"/>
      <c r="C521" s="13"/>
      <c r="D521" s="13"/>
      <c r="E521" s="13"/>
      <c r="F521" s="13"/>
      <c r="G521" s="13"/>
      <c r="H521" s="13"/>
      <c r="I521" s="15"/>
      <c r="J521" s="15"/>
    </row>
    <row r="522" spans="1:10" x14ac:dyDescent="0.2">
      <c r="A522" s="13"/>
      <c r="B522" s="14"/>
      <c r="C522" s="13"/>
      <c r="D522" s="13"/>
      <c r="E522" s="13"/>
      <c r="F522" s="13"/>
      <c r="G522" s="13"/>
      <c r="H522" s="13"/>
      <c r="I522" s="15"/>
      <c r="J522" s="15"/>
    </row>
    <row r="523" spans="1:10" x14ac:dyDescent="0.2">
      <c r="A523" s="13"/>
      <c r="B523" s="14"/>
      <c r="C523" s="13"/>
      <c r="D523" s="13"/>
      <c r="E523" s="13"/>
      <c r="F523" s="13"/>
      <c r="G523" s="13"/>
      <c r="H523" s="13"/>
      <c r="I523" s="15"/>
      <c r="J523" s="15"/>
    </row>
    <row r="524" spans="1:10" x14ac:dyDescent="0.2">
      <c r="A524" s="13"/>
      <c r="B524" s="14"/>
      <c r="C524" s="13"/>
      <c r="D524" s="13"/>
      <c r="E524" s="13"/>
      <c r="F524" s="13"/>
      <c r="G524" s="13"/>
      <c r="H524" s="13"/>
      <c r="I524" s="15"/>
      <c r="J524" s="15"/>
    </row>
    <row r="525" spans="1:10" x14ac:dyDescent="0.2">
      <c r="A525" s="13"/>
      <c r="B525" s="14"/>
      <c r="C525" s="13"/>
      <c r="D525" s="13"/>
      <c r="E525" s="13"/>
      <c r="F525" s="13"/>
      <c r="G525" s="13"/>
      <c r="H525" s="13"/>
      <c r="I525" s="15"/>
      <c r="J525" s="15"/>
    </row>
    <row r="526" spans="1:10" x14ac:dyDescent="0.2">
      <c r="A526" s="13"/>
      <c r="B526" s="14"/>
      <c r="C526" s="13"/>
      <c r="D526" s="13"/>
      <c r="E526" s="13"/>
      <c r="F526" s="13"/>
      <c r="G526" s="13"/>
      <c r="H526" s="13"/>
      <c r="I526" s="15"/>
      <c r="J526" s="15"/>
    </row>
    <row r="527" spans="1:10" x14ac:dyDescent="0.2">
      <c r="A527" s="13"/>
      <c r="B527" s="14"/>
      <c r="C527" s="13"/>
      <c r="D527" s="13"/>
      <c r="E527" s="13"/>
      <c r="F527" s="13"/>
      <c r="G527" s="13"/>
      <c r="H527" s="13"/>
      <c r="I527" s="15"/>
      <c r="J527" s="15"/>
    </row>
    <row r="528" spans="1:10" x14ac:dyDescent="0.2">
      <c r="A528" s="13"/>
      <c r="B528" s="14"/>
      <c r="C528" s="13"/>
      <c r="D528" s="13"/>
      <c r="E528" s="13"/>
      <c r="F528" s="13"/>
      <c r="G528" s="13"/>
      <c r="H528" s="13"/>
      <c r="I528" s="15"/>
      <c r="J528" s="15"/>
    </row>
    <row r="529" spans="1:10" x14ac:dyDescent="0.2">
      <c r="A529" s="13"/>
      <c r="B529" s="14"/>
      <c r="C529" s="13"/>
      <c r="D529" s="13"/>
      <c r="E529" s="13"/>
      <c r="F529" s="13"/>
      <c r="G529" s="13"/>
      <c r="H529" s="13"/>
      <c r="I529" s="15"/>
      <c r="J529" s="15"/>
    </row>
    <row r="530" spans="1:10" x14ac:dyDescent="0.2">
      <c r="A530" s="13"/>
      <c r="B530" s="14"/>
      <c r="C530" s="13"/>
      <c r="D530" s="13"/>
      <c r="E530" s="13"/>
      <c r="F530" s="13"/>
      <c r="G530" s="13"/>
      <c r="H530" s="13"/>
      <c r="I530" s="15"/>
      <c r="J530" s="15"/>
    </row>
    <row r="531" spans="1:10" x14ac:dyDescent="0.2">
      <c r="A531" s="13"/>
      <c r="B531" s="14"/>
      <c r="C531" s="13"/>
      <c r="D531" s="13"/>
      <c r="E531" s="13"/>
      <c r="F531" s="13"/>
      <c r="G531" s="13"/>
      <c r="H531" s="13"/>
      <c r="I531" s="15"/>
      <c r="J531" s="15"/>
    </row>
    <row r="532" spans="1:10" x14ac:dyDescent="0.2">
      <c r="A532" s="13"/>
      <c r="B532" s="14"/>
      <c r="C532" s="13"/>
      <c r="D532" s="13"/>
      <c r="E532" s="13"/>
      <c r="F532" s="13"/>
      <c r="G532" s="13"/>
      <c r="H532" s="13"/>
      <c r="I532" s="15"/>
      <c r="J532" s="15"/>
    </row>
    <row r="533" spans="1:10" x14ac:dyDescent="0.2">
      <c r="A533" s="13"/>
      <c r="B533" s="14"/>
      <c r="C533" s="13"/>
      <c r="D533" s="13"/>
      <c r="E533" s="13"/>
      <c r="F533" s="13"/>
      <c r="G533" s="13"/>
      <c r="H533" s="13"/>
      <c r="I533" s="15"/>
      <c r="J533" s="15"/>
    </row>
    <row r="534" spans="1:10" x14ac:dyDescent="0.2">
      <c r="A534" s="13"/>
      <c r="B534" s="14"/>
      <c r="C534" s="13"/>
      <c r="D534" s="13"/>
      <c r="E534" s="13"/>
      <c r="F534" s="13"/>
      <c r="G534" s="13"/>
      <c r="H534" s="13"/>
      <c r="I534" s="15"/>
      <c r="J534" s="15"/>
    </row>
    <row r="535" spans="1:10" x14ac:dyDescent="0.2">
      <c r="A535" s="13"/>
      <c r="B535" s="14"/>
      <c r="C535" s="13"/>
      <c r="D535" s="13"/>
      <c r="E535" s="13"/>
      <c r="F535" s="13"/>
      <c r="G535" s="13"/>
      <c r="H535" s="13"/>
      <c r="I535" s="15"/>
      <c r="J535" s="15"/>
    </row>
    <row r="536" spans="1:10" x14ac:dyDescent="0.2">
      <c r="A536" s="13"/>
      <c r="B536" s="14"/>
      <c r="C536" s="13"/>
      <c r="D536" s="13"/>
      <c r="E536" s="13"/>
      <c r="F536" s="13"/>
      <c r="G536" s="13"/>
      <c r="H536" s="13"/>
      <c r="I536" s="15"/>
      <c r="J536" s="15"/>
    </row>
    <row r="537" spans="1:10" x14ac:dyDescent="0.2">
      <c r="A537" s="13"/>
      <c r="B537" s="14"/>
      <c r="C537" s="13"/>
      <c r="D537" s="13"/>
      <c r="E537" s="13"/>
      <c r="F537" s="13"/>
      <c r="G537" s="13"/>
      <c r="H537" s="13"/>
      <c r="I537" s="15"/>
      <c r="J537" s="15"/>
    </row>
    <row r="538" spans="1:10" x14ac:dyDescent="0.2">
      <c r="A538" s="13"/>
      <c r="B538" s="14"/>
      <c r="C538" s="13"/>
      <c r="D538" s="13"/>
      <c r="E538" s="13"/>
      <c r="F538" s="13"/>
      <c r="G538" s="13"/>
      <c r="H538" s="13"/>
      <c r="I538" s="15"/>
      <c r="J538" s="15"/>
    </row>
    <row r="539" spans="1:10" x14ac:dyDescent="0.2">
      <c r="A539" s="13"/>
      <c r="B539" s="14"/>
      <c r="C539" s="13"/>
      <c r="D539" s="13"/>
      <c r="E539" s="13"/>
      <c r="F539" s="13"/>
      <c r="G539" s="13"/>
      <c r="H539" s="13"/>
      <c r="I539" s="15"/>
      <c r="J539" s="15"/>
    </row>
    <row r="540" spans="1:10" x14ac:dyDescent="0.2">
      <c r="A540" s="13"/>
      <c r="B540" s="14"/>
      <c r="C540" s="13"/>
      <c r="D540" s="13"/>
      <c r="E540" s="13"/>
      <c r="F540" s="13"/>
      <c r="G540" s="13"/>
      <c r="H540" s="13"/>
      <c r="I540" s="15"/>
      <c r="J540" s="15"/>
    </row>
    <row r="541" spans="1:10" x14ac:dyDescent="0.2">
      <c r="A541" s="13"/>
      <c r="B541" s="14"/>
      <c r="C541" s="13"/>
      <c r="D541" s="13"/>
      <c r="E541" s="13"/>
      <c r="F541" s="13"/>
      <c r="G541" s="13"/>
      <c r="H541" s="13"/>
      <c r="I541" s="15"/>
      <c r="J541" s="15"/>
    </row>
    <row r="542" spans="1:10" x14ac:dyDescent="0.2">
      <c r="A542" s="13"/>
      <c r="B542" s="14"/>
      <c r="C542" s="13"/>
      <c r="D542" s="13"/>
      <c r="E542" s="13"/>
      <c r="F542" s="13"/>
      <c r="G542" s="13"/>
      <c r="H542" s="13"/>
      <c r="I542" s="15"/>
      <c r="J542" s="15"/>
    </row>
    <row r="543" spans="1:10" x14ac:dyDescent="0.2">
      <c r="A543" s="13"/>
      <c r="B543" s="14"/>
      <c r="C543" s="13"/>
      <c r="D543" s="13"/>
      <c r="E543" s="13"/>
      <c r="F543" s="13"/>
      <c r="G543" s="13"/>
      <c r="H543" s="13"/>
      <c r="I543" s="15"/>
      <c r="J543" s="15"/>
    </row>
    <row r="544" spans="1:10" x14ac:dyDescent="0.2">
      <c r="A544" s="13"/>
      <c r="B544" s="14"/>
      <c r="C544" s="13"/>
      <c r="D544" s="13"/>
      <c r="E544" s="13"/>
      <c r="F544" s="13"/>
      <c r="G544" s="13"/>
      <c r="H544" s="13"/>
      <c r="I544" s="15"/>
      <c r="J544" s="15"/>
    </row>
    <row r="545" spans="1:10" x14ac:dyDescent="0.2">
      <c r="A545" s="13"/>
      <c r="B545" s="14"/>
      <c r="C545" s="13"/>
      <c r="D545" s="13"/>
      <c r="E545" s="13"/>
      <c r="F545" s="13"/>
      <c r="G545" s="13"/>
      <c r="H545" s="13"/>
      <c r="I545" s="15"/>
      <c r="J545" s="15"/>
    </row>
    <row r="546" spans="1:10" x14ac:dyDescent="0.2">
      <c r="A546" s="13"/>
      <c r="B546" s="14"/>
      <c r="C546" s="13"/>
      <c r="D546" s="13"/>
      <c r="E546" s="13"/>
      <c r="F546" s="13"/>
      <c r="G546" s="13"/>
      <c r="H546" s="13"/>
      <c r="I546" s="15"/>
      <c r="J546" s="15"/>
    </row>
    <row r="547" spans="1:10" x14ac:dyDescent="0.2">
      <c r="A547" s="13"/>
      <c r="B547" s="14"/>
      <c r="C547" s="13"/>
      <c r="D547" s="13"/>
      <c r="E547" s="13"/>
      <c r="F547" s="13"/>
      <c r="G547" s="13"/>
      <c r="H547" s="13"/>
      <c r="I547" s="15"/>
      <c r="J547" s="15"/>
    </row>
    <row r="548" spans="1:10" x14ac:dyDescent="0.2">
      <c r="A548" s="13"/>
      <c r="B548" s="14"/>
      <c r="C548" s="13"/>
      <c r="D548" s="13"/>
      <c r="E548" s="13"/>
      <c r="F548" s="13"/>
      <c r="G548" s="13"/>
      <c r="H548" s="13"/>
      <c r="I548" s="15"/>
      <c r="J548" s="15"/>
    </row>
    <row r="549" spans="1:10" x14ac:dyDescent="0.2">
      <c r="A549" s="13"/>
      <c r="B549" s="14"/>
      <c r="C549" s="13"/>
      <c r="D549" s="13"/>
      <c r="E549" s="13"/>
      <c r="F549" s="13"/>
      <c r="G549" s="13"/>
      <c r="H549" s="13"/>
      <c r="I549" s="15"/>
      <c r="J549" s="15"/>
    </row>
    <row r="550" spans="1:10" hidden="1" x14ac:dyDescent="0.2">
      <c r="A550" s="13" t="s">
        <v>109</v>
      </c>
      <c r="B550" s="14" t="s">
        <v>176</v>
      </c>
      <c r="C550" s="13" t="s">
        <v>177</v>
      </c>
      <c r="D550" s="13" t="s">
        <v>178</v>
      </c>
      <c r="E550" s="13" t="s">
        <v>205</v>
      </c>
      <c r="F550" s="13" t="s">
        <v>187</v>
      </c>
      <c r="G550" s="13" t="s">
        <v>0</v>
      </c>
      <c r="H550" s="13" t="s">
        <v>231</v>
      </c>
      <c r="I550" s="15">
        <v>43148</v>
      </c>
      <c r="J550" s="15">
        <v>43155</v>
      </c>
    </row>
    <row r="551" spans="1:10" hidden="1" x14ac:dyDescent="0.2">
      <c r="A551" s="13" t="s">
        <v>110</v>
      </c>
      <c r="B551" s="14" t="s">
        <v>124</v>
      </c>
      <c r="C551" s="13" t="s">
        <v>21</v>
      </c>
      <c r="D551" s="13" t="s">
        <v>20</v>
      </c>
      <c r="E551" s="13" t="s">
        <v>205</v>
      </c>
      <c r="F551" s="13" t="s">
        <v>187</v>
      </c>
      <c r="G551" s="13" t="s">
        <v>0</v>
      </c>
      <c r="H551" s="13" t="s">
        <v>211</v>
      </c>
      <c r="I551" s="15">
        <v>43036</v>
      </c>
      <c r="J551" s="15">
        <v>43043</v>
      </c>
    </row>
    <row r="552" spans="1:10" hidden="1" x14ac:dyDescent="0.2">
      <c r="A552" s="13" t="s">
        <v>109</v>
      </c>
      <c r="B552" s="14" t="s">
        <v>176</v>
      </c>
      <c r="C552" s="13" t="s">
        <v>177</v>
      </c>
      <c r="D552" s="13" t="s">
        <v>178</v>
      </c>
      <c r="E552" s="13" t="s">
        <v>205</v>
      </c>
      <c r="F552" s="13" t="s">
        <v>187</v>
      </c>
      <c r="G552" s="13" t="s">
        <v>0</v>
      </c>
      <c r="H552" s="13" t="s">
        <v>220</v>
      </c>
      <c r="I552" s="15">
        <v>43029</v>
      </c>
      <c r="J552" s="15">
        <v>43036</v>
      </c>
    </row>
    <row r="553" spans="1:10" hidden="1" x14ac:dyDescent="0.2">
      <c r="A553" s="13" t="s">
        <v>112</v>
      </c>
      <c r="B553" s="14" t="s">
        <v>121</v>
      </c>
      <c r="C553" s="13" t="s">
        <v>55</v>
      </c>
      <c r="D553" s="13" t="s">
        <v>16</v>
      </c>
      <c r="E553" s="13" t="s">
        <v>205</v>
      </c>
      <c r="F553" s="13" t="s">
        <v>187</v>
      </c>
      <c r="G553" s="13" t="s">
        <v>0</v>
      </c>
      <c r="H553" s="13" t="s">
        <v>243</v>
      </c>
      <c r="I553" s="15">
        <v>42910</v>
      </c>
      <c r="J553" s="15">
        <v>42917</v>
      </c>
    </row>
    <row r="554" spans="1:10" hidden="1" x14ac:dyDescent="0.2">
      <c r="A554" s="13" t="s">
        <v>112</v>
      </c>
      <c r="B554" s="14" t="s">
        <v>115</v>
      </c>
      <c r="C554" s="13" t="s">
        <v>41</v>
      </c>
      <c r="D554" s="13" t="s">
        <v>40</v>
      </c>
      <c r="E554" s="13" t="s">
        <v>205</v>
      </c>
      <c r="F554" s="13" t="s">
        <v>187</v>
      </c>
      <c r="G554" s="13" t="s">
        <v>0</v>
      </c>
      <c r="H554" s="13" t="s">
        <v>238</v>
      </c>
      <c r="I554" s="15">
        <v>42476</v>
      </c>
      <c r="J554" s="15">
        <v>42483</v>
      </c>
    </row>
    <row r="555" spans="1:10" hidden="1" x14ac:dyDescent="0.2">
      <c r="A555" s="13" t="s">
        <v>112</v>
      </c>
      <c r="B555" s="14" t="s">
        <v>121</v>
      </c>
      <c r="C555" s="13" t="s">
        <v>55</v>
      </c>
      <c r="D555" s="13" t="s">
        <v>16</v>
      </c>
      <c r="E555" s="13" t="s">
        <v>205</v>
      </c>
      <c r="F555" s="13" t="s">
        <v>187</v>
      </c>
      <c r="G555" s="13" t="s">
        <v>0</v>
      </c>
      <c r="H555" s="13" t="s">
        <v>223</v>
      </c>
      <c r="I555" s="15">
        <v>42476</v>
      </c>
      <c r="J555" s="15">
        <v>42483</v>
      </c>
    </row>
    <row r="556" spans="1:10" hidden="1" x14ac:dyDescent="0.2">
      <c r="A556" s="13" t="s">
        <v>110</v>
      </c>
      <c r="B556" s="14" t="s">
        <v>120</v>
      </c>
      <c r="C556" s="13" t="s">
        <v>54</v>
      </c>
      <c r="D556" s="13" t="s">
        <v>53</v>
      </c>
      <c r="E556" s="13" t="s">
        <v>205</v>
      </c>
      <c r="F556" s="13" t="s">
        <v>187</v>
      </c>
      <c r="G556" s="13" t="s">
        <v>0</v>
      </c>
      <c r="H556" s="13" t="s">
        <v>188</v>
      </c>
      <c r="I556" s="15">
        <v>42182</v>
      </c>
      <c r="J556" s="15">
        <v>42189</v>
      </c>
    </row>
    <row r="557" spans="1:10" hidden="1" x14ac:dyDescent="0.2">
      <c r="A557" s="13" t="s">
        <v>112</v>
      </c>
      <c r="B557" s="14" t="s">
        <v>121</v>
      </c>
      <c r="C557" s="13" t="s">
        <v>55</v>
      </c>
      <c r="D557" s="13" t="s">
        <v>16</v>
      </c>
      <c r="E557" s="13" t="s">
        <v>205</v>
      </c>
      <c r="F557" s="13" t="s">
        <v>187</v>
      </c>
      <c r="G557" s="13" t="s">
        <v>0</v>
      </c>
      <c r="H557" s="13" t="s">
        <v>211</v>
      </c>
      <c r="I557" s="15">
        <v>42049</v>
      </c>
      <c r="J557" s="15">
        <v>42056</v>
      </c>
    </row>
    <row r="558" spans="1:10" hidden="1" x14ac:dyDescent="0.2">
      <c r="A558" s="13" t="s">
        <v>112</v>
      </c>
      <c r="B558" s="14" t="s">
        <v>180</v>
      </c>
      <c r="C558" s="13" t="s">
        <v>179</v>
      </c>
      <c r="D558" s="13" t="s">
        <v>34</v>
      </c>
      <c r="E558" s="13" t="s">
        <v>205</v>
      </c>
      <c r="F558" s="13" t="s">
        <v>187</v>
      </c>
      <c r="G558" s="13" t="s">
        <v>0</v>
      </c>
      <c r="H558" s="13" t="s">
        <v>267</v>
      </c>
      <c r="I558" s="15">
        <v>41937</v>
      </c>
      <c r="J558" s="15">
        <v>41944</v>
      </c>
    </row>
    <row r="559" spans="1:10" hidden="1" x14ac:dyDescent="0.2">
      <c r="A559" s="13" t="s">
        <v>110</v>
      </c>
      <c r="B559" s="14" t="s">
        <v>123</v>
      </c>
      <c r="C559" s="13" t="s">
        <v>58</v>
      </c>
      <c r="D559" s="13" t="s">
        <v>31</v>
      </c>
      <c r="E559" s="13" t="s">
        <v>205</v>
      </c>
      <c r="F559" s="13" t="s">
        <v>187</v>
      </c>
      <c r="G559" s="13" t="s">
        <v>0</v>
      </c>
      <c r="H559" s="13" t="s">
        <v>265</v>
      </c>
      <c r="I559" s="15">
        <v>41825</v>
      </c>
      <c r="J559" s="15">
        <v>41832</v>
      </c>
    </row>
  </sheetData>
  <autoFilter ref="A1:J559" xr:uid="{00000000-0009-0000-0000-000002000000}">
    <filterColumn colId="4">
      <filters>
        <filter val="Stagiaire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J15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A2" sqref="A2"/>
    </sheetView>
  </sheetViews>
  <sheetFormatPr baseColWidth="10" defaultRowHeight="12.75" x14ac:dyDescent="0.2"/>
  <cols>
    <col min="8" max="8" width="27.28515625" customWidth="1"/>
  </cols>
  <sheetData>
    <row r="1" spans="1:10" x14ac:dyDescent="0.2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181</v>
      </c>
      <c r="F1" s="13" t="s">
        <v>182</v>
      </c>
      <c r="G1" s="13" t="s">
        <v>183</v>
      </c>
      <c r="H1" s="13" t="s">
        <v>184</v>
      </c>
      <c r="I1" s="13" t="s">
        <v>185</v>
      </c>
      <c r="J1" s="13" t="s">
        <v>186</v>
      </c>
    </row>
    <row r="2" spans="1:10" x14ac:dyDescent="0.2">
      <c r="A2" s="13"/>
      <c r="B2" s="14"/>
      <c r="C2" s="13"/>
      <c r="D2" s="13"/>
      <c r="E2" s="13"/>
      <c r="F2" s="13"/>
      <c r="G2" s="13"/>
      <c r="H2" s="13"/>
      <c r="I2" s="15"/>
      <c r="J2" s="15"/>
    </row>
    <row r="3" spans="1:10" x14ac:dyDescent="0.2">
      <c r="A3" s="13"/>
      <c r="B3" s="14"/>
      <c r="C3" s="13"/>
      <c r="D3" s="13"/>
      <c r="E3" s="13"/>
      <c r="F3" s="13"/>
      <c r="G3" s="13"/>
      <c r="H3" s="13"/>
      <c r="I3" s="15"/>
      <c r="J3" s="15"/>
    </row>
    <row r="4" spans="1:10" x14ac:dyDescent="0.2">
      <c r="A4" s="13"/>
      <c r="B4" s="14"/>
      <c r="C4" s="13"/>
      <c r="D4" s="13"/>
      <c r="E4" s="13"/>
      <c r="F4" s="13"/>
      <c r="G4" s="13"/>
      <c r="H4" s="13"/>
      <c r="I4" s="15"/>
      <c r="J4" s="15"/>
    </row>
    <row r="5" spans="1:10" x14ac:dyDescent="0.2">
      <c r="A5" s="13"/>
      <c r="B5" s="14"/>
      <c r="C5" s="13"/>
      <c r="D5" s="13"/>
      <c r="E5" s="13"/>
      <c r="F5" s="13"/>
      <c r="G5" s="13"/>
      <c r="H5" s="13"/>
      <c r="I5" s="15"/>
      <c r="J5" s="15"/>
    </row>
    <row r="6" spans="1:10" x14ac:dyDescent="0.2">
      <c r="A6" s="13"/>
      <c r="B6" s="14"/>
      <c r="C6" s="13"/>
      <c r="D6" s="13"/>
      <c r="E6" s="13"/>
      <c r="F6" s="13"/>
      <c r="G6" s="13"/>
      <c r="H6" s="13"/>
      <c r="I6" s="15"/>
      <c r="J6" s="15"/>
    </row>
    <row r="7" spans="1:10" x14ac:dyDescent="0.2">
      <c r="A7" s="13"/>
      <c r="B7" s="14"/>
      <c r="C7" s="13"/>
      <c r="D7" s="13"/>
      <c r="E7" s="13"/>
      <c r="F7" s="13"/>
      <c r="G7" s="13"/>
      <c r="H7" s="13"/>
      <c r="I7" s="15"/>
      <c r="J7" s="15"/>
    </row>
    <row r="8" spans="1:10" x14ac:dyDescent="0.2">
      <c r="A8" s="13"/>
      <c r="B8" s="14"/>
      <c r="C8" s="13"/>
      <c r="D8" s="13"/>
      <c r="E8" s="13"/>
      <c r="F8" s="13"/>
      <c r="G8" s="13"/>
      <c r="H8" s="13"/>
      <c r="I8" s="15"/>
      <c r="J8" s="15"/>
    </row>
    <row r="9" spans="1:10" x14ac:dyDescent="0.2">
      <c r="A9" s="13"/>
      <c r="B9" s="14"/>
      <c r="C9" s="13"/>
      <c r="D9" s="13"/>
      <c r="E9" s="13"/>
      <c r="F9" s="13"/>
      <c r="G9" s="13"/>
      <c r="H9" s="13"/>
      <c r="I9" s="15"/>
      <c r="J9" s="15"/>
    </row>
    <row r="10" spans="1:10" x14ac:dyDescent="0.2">
      <c r="A10" s="13"/>
      <c r="B10" s="14"/>
      <c r="C10" s="13"/>
      <c r="D10" s="13"/>
      <c r="E10" s="13"/>
      <c r="F10" s="13"/>
      <c r="G10" s="13"/>
      <c r="H10" s="13"/>
      <c r="I10" s="15"/>
      <c r="J10" s="15"/>
    </row>
    <row r="11" spans="1:10" x14ac:dyDescent="0.2">
      <c r="A11" s="13"/>
      <c r="B11" s="14"/>
      <c r="C11" s="13"/>
      <c r="D11" s="13"/>
      <c r="E11" s="13"/>
      <c r="F11" s="13"/>
      <c r="G11" s="13"/>
      <c r="H11" s="13"/>
      <c r="I11" s="15"/>
      <c r="J11" s="15"/>
    </row>
    <row r="12" spans="1:10" x14ac:dyDescent="0.2">
      <c r="A12" s="13"/>
      <c r="B12" s="14"/>
      <c r="C12" s="13"/>
      <c r="D12" s="13"/>
      <c r="E12" s="13"/>
      <c r="F12" s="13"/>
      <c r="G12" s="13"/>
      <c r="H12" s="13"/>
      <c r="I12" s="15"/>
      <c r="J12" s="15"/>
    </row>
    <row r="13" spans="1:10" x14ac:dyDescent="0.2">
      <c r="A13" s="13"/>
      <c r="B13" s="14"/>
      <c r="C13" s="13"/>
      <c r="D13" s="13"/>
      <c r="E13" s="13"/>
      <c r="F13" s="13"/>
      <c r="G13" s="13"/>
      <c r="H13" s="13"/>
      <c r="I13" s="15"/>
      <c r="J13" s="15"/>
    </row>
    <row r="14" spans="1:10" x14ac:dyDescent="0.2">
      <c r="A14" s="13"/>
      <c r="B14" s="14"/>
      <c r="C14" s="13"/>
      <c r="D14" s="13"/>
      <c r="E14" s="13"/>
      <c r="F14" s="13"/>
      <c r="G14" s="13"/>
      <c r="H14" s="13"/>
      <c r="I14" s="15"/>
      <c r="J14" s="15"/>
    </row>
    <row r="15" spans="1:10" x14ac:dyDescent="0.2">
      <c r="A15" s="13"/>
      <c r="B15" s="14"/>
      <c r="C15" s="13"/>
      <c r="D15" s="13"/>
      <c r="E15" s="13"/>
      <c r="F15" s="13"/>
      <c r="G15" s="13"/>
      <c r="H15" s="13"/>
      <c r="I15" s="15"/>
      <c r="J15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J82"/>
  <sheetViews>
    <sheetView workbookViewId="0">
      <selection activeCell="A2" sqref="A2:M97"/>
    </sheetView>
  </sheetViews>
  <sheetFormatPr baseColWidth="10" defaultRowHeight="12.75" x14ac:dyDescent="0.2"/>
  <cols>
    <col min="6" max="6" width="40.140625" customWidth="1"/>
  </cols>
  <sheetData>
    <row r="1" spans="1:10" x14ac:dyDescent="0.2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181</v>
      </c>
      <c r="F1" s="13" t="s">
        <v>182</v>
      </c>
      <c r="G1" s="13" t="s">
        <v>183</v>
      </c>
      <c r="H1" s="13" t="s">
        <v>184</v>
      </c>
      <c r="I1" s="13" t="s">
        <v>185</v>
      </c>
      <c r="J1" s="13" t="s">
        <v>186</v>
      </c>
    </row>
    <row r="2" spans="1:10" x14ac:dyDescent="0.2">
      <c r="A2" s="13"/>
      <c r="B2" s="14"/>
      <c r="C2" s="13"/>
      <c r="D2" s="13"/>
      <c r="E2" s="13"/>
      <c r="F2" s="13"/>
      <c r="G2" s="13"/>
      <c r="H2" s="13"/>
      <c r="I2" s="15"/>
      <c r="J2" s="15"/>
    </row>
    <row r="3" spans="1:10" x14ac:dyDescent="0.2">
      <c r="A3" s="13"/>
      <c r="B3" s="14"/>
      <c r="C3" s="13"/>
      <c r="D3" s="13"/>
      <c r="E3" s="13"/>
      <c r="F3" s="13"/>
      <c r="G3" s="13"/>
      <c r="H3" s="13"/>
      <c r="I3" s="15"/>
      <c r="J3" s="15"/>
    </row>
    <row r="4" spans="1:10" x14ac:dyDescent="0.2">
      <c r="A4" s="13"/>
      <c r="B4" s="14"/>
      <c r="C4" s="13"/>
      <c r="D4" s="13"/>
      <c r="E4" s="13"/>
      <c r="F4" s="13"/>
      <c r="G4" s="13"/>
      <c r="H4" s="13"/>
      <c r="I4" s="15"/>
      <c r="J4" s="15"/>
    </row>
    <row r="5" spans="1:10" x14ac:dyDescent="0.2">
      <c r="A5" s="13"/>
      <c r="B5" s="14"/>
      <c r="C5" s="13"/>
      <c r="D5" s="13"/>
      <c r="E5" s="13"/>
      <c r="F5" s="13"/>
      <c r="G5" s="13"/>
      <c r="H5" s="13"/>
      <c r="I5" s="15"/>
      <c r="J5" s="15"/>
    </row>
    <row r="6" spans="1:10" x14ac:dyDescent="0.2">
      <c r="A6" s="13"/>
      <c r="B6" s="14"/>
      <c r="C6" s="13"/>
      <c r="D6" s="13"/>
      <c r="E6" s="13"/>
      <c r="F6" s="13"/>
      <c r="G6" s="13"/>
      <c r="H6" s="13"/>
      <c r="I6" s="15"/>
      <c r="J6" s="15"/>
    </row>
    <row r="7" spans="1:10" x14ac:dyDescent="0.2">
      <c r="A7" s="13"/>
      <c r="B7" s="14"/>
      <c r="C7" s="13"/>
      <c r="D7" s="13"/>
      <c r="E7" s="13"/>
      <c r="F7" s="13"/>
      <c r="G7" s="13"/>
      <c r="H7" s="13"/>
      <c r="I7" s="15"/>
      <c r="J7" s="15"/>
    </row>
    <row r="8" spans="1:10" x14ac:dyDescent="0.2">
      <c r="A8" s="13"/>
      <c r="B8" s="14"/>
      <c r="C8" s="13"/>
      <c r="D8" s="13"/>
      <c r="E8" s="13"/>
      <c r="F8" s="13"/>
      <c r="G8" s="13"/>
      <c r="H8" s="13"/>
      <c r="I8" s="15"/>
      <c r="J8" s="15"/>
    </row>
    <row r="9" spans="1:10" x14ac:dyDescent="0.2">
      <c r="A9" s="13"/>
      <c r="B9" s="14"/>
      <c r="C9" s="13"/>
      <c r="D9" s="13"/>
      <c r="E9" s="13"/>
      <c r="F9" s="13"/>
      <c r="G9" s="13"/>
      <c r="H9" s="13"/>
      <c r="I9" s="15"/>
      <c r="J9" s="15"/>
    </row>
    <row r="10" spans="1:10" x14ac:dyDescent="0.2">
      <c r="A10" s="13"/>
      <c r="B10" s="14"/>
      <c r="C10" s="13"/>
      <c r="D10" s="13"/>
      <c r="E10" s="13"/>
      <c r="F10" s="13"/>
      <c r="G10" s="13"/>
      <c r="H10" s="13"/>
      <c r="I10" s="15"/>
      <c r="J10" s="15"/>
    </row>
    <row r="11" spans="1:10" x14ac:dyDescent="0.2">
      <c r="A11" s="13"/>
      <c r="B11" s="14"/>
      <c r="C11" s="13"/>
      <c r="D11" s="13"/>
      <c r="E11" s="13"/>
      <c r="F11" s="13"/>
      <c r="G11" s="13"/>
      <c r="H11" s="13"/>
      <c r="I11" s="15"/>
      <c r="J11" s="15"/>
    </row>
    <row r="12" spans="1:10" x14ac:dyDescent="0.2">
      <c r="A12" s="13"/>
      <c r="B12" s="14"/>
      <c r="C12" s="13"/>
      <c r="D12" s="13"/>
      <c r="E12" s="13"/>
      <c r="F12" s="13"/>
      <c r="G12" s="13"/>
      <c r="H12" s="13"/>
      <c r="I12" s="15"/>
      <c r="J12" s="15"/>
    </row>
    <row r="13" spans="1:10" x14ac:dyDescent="0.2">
      <c r="A13" s="13"/>
      <c r="B13" s="14"/>
      <c r="C13" s="13"/>
      <c r="D13" s="13"/>
      <c r="E13" s="13"/>
      <c r="F13" s="13"/>
      <c r="G13" s="13"/>
      <c r="H13" s="13"/>
      <c r="I13" s="15"/>
      <c r="J13" s="15"/>
    </row>
    <row r="14" spans="1:10" x14ac:dyDescent="0.2">
      <c r="A14" s="13"/>
      <c r="B14" s="14"/>
      <c r="C14" s="13"/>
      <c r="D14" s="13"/>
      <c r="E14" s="13"/>
      <c r="F14" s="13"/>
      <c r="G14" s="13"/>
      <c r="H14" s="13"/>
      <c r="I14" s="15"/>
      <c r="J14" s="15"/>
    </row>
    <row r="15" spans="1:10" x14ac:dyDescent="0.2">
      <c r="A15" s="13"/>
      <c r="B15" s="14"/>
      <c r="C15" s="13"/>
      <c r="D15" s="13"/>
      <c r="E15" s="13"/>
      <c r="F15" s="13"/>
      <c r="G15" s="13"/>
      <c r="H15" s="13"/>
      <c r="I15" s="15"/>
      <c r="J15" s="15"/>
    </row>
    <row r="16" spans="1:10" x14ac:dyDescent="0.2">
      <c r="A16" s="13"/>
      <c r="B16" s="14"/>
      <c r="C16" s="13"/>
      <c r="D16" s="13"/>
      <c r="E16" s="13"/>
      <c r="F16" s="13"/>
      <c r="G16" s="13"/>
      <c r="H16" s="13"/>
      <c r="I16" s="15"/>
      <c r="J16" s="15"/>
    </row>
    <row r="17" spans="1:10" x14ac:dyDescent="0.2">
      <c r="A17" s="13"/>
      <c r="B17" s="14"/>
      <c r="C17" s="13"/>
      <c r="D17" s="13"/>
      <c r="E17" s="13"/>
      <c r="F17" s="13"/>
      <c r="G17" s="13"/>
      <c r="H17" s="13"/>
      <c r="I17" s="15"/>
      <c r="J17" s="15"/>
    </row>
    <row r="18" spans="1:10" x14ac:dyDescent="0.2">
      <c r="A18" s="13"/>
      <c r="B18" s="14"/>
      <c r="C18" s="13"/>
      <c r="D18" s="13"/>
      <c r="E18" s="13"/>
      <c r="F18" s="13"/>
      <c r="G18" s="13"/>
      <c r="H18" s="13"/>
      <c r="I18" s="15"/>
      <c r="J18" s="15"/>
    </row>
    <row r="19" spans="1:10" x14ac:dyDescent="0.2">
      <c r="A19" s="13"/>
      <c r="B19" s="14"/>
      <c r="C19" s="13"/>
      <c r="D19" s="13"/>
      <c r="E19" s="13"/>
      <c r="F19" s="13"/>
      <c r="G19" s="13"/>
      <c r="H19" s="13"/>
      <c r="I19" s="15"/>
      <c r="J19" s="15"/>
    </row>
    <row r="20" spans="1:10" x14ac:dyDescent="0.2">
      <c r="A20" s="13"/>
      <c r="B20" s="14"/>
      <c r="C20" s="13"/>
      <c r="D20" s="13"/>
      <c r="E20" s="13"/>
      <c r="F20" s="13"/>
      <c r="G20" s="13"/>
      <c r="H20" s="13"/>
      <c r="I20" s="15"/>
      <c r="J20" s="15"/>
    </row>
    <row r="21" spans="1:10" x14ac:dyDescent="0.2">
      <c r="A21" s="13"/>
      <c r="B21" s="14"/>
      <c r="C21" s="13"/>
      <c r="D21" s="13"/>
      <c r="E21" s="13"/>
      <c r="F21" s="13"/>
      <c r="G21" s="13"/>
      <c r="H21" s="13"/>
      <c r="I21" s="15"/>
      <c r="J21" s="15"/>
    </row>
    <row r="22" spans="1:10" x14ac:dyDescent="0.2">
      <c r="A22" s="13"/>
      <c r="B22" s="14"/>
      <c r="C22" s="13"/>
      <c r="D22" s="13"/>
      <c r="E22" s="13"/>
      <c r="F22" s="13"/>
      <c r="G22" s="13"/>
      <c r="H22" s="13"/>
      <c r="I22" s="15"/>
      <c r="J22" s="15"/>
    </row>
    <row r="23" spans="1:10" x14ac:dyDescent="0.2">
      <c r="A23" s="13"/>
      <c r="B23" s="14"/>
      <c r="C23" s="13"/>
      <c r="D23" s="13"/>
      <c r="E23" s="13"/>
      <c r="F23" s="13"/>
      <c r="G23" s="13"/>
      <c r="H23" s="13"/>
      <c r="I23" s="15"/>
      <c r="J23" s="15"/>
    </row>
    <row r="24" spans="1:10" x14ac:dyDescent="0.2">
      <c r="A24" s="13"/>
      <c r="B24" s="14"/>
      <c r="C24" s="13"/>
      <c r="D24" s="13"/>
      <c r="E24" s="13"/>
      <c r="F24" s="13"/>
      <c r="G24" s="13"/>
      <c r="H24" s="13"/>
      <c r="I24" s="15"/>
      <c r="J24" s="15"/>
    </row>
    <row r="25" spans="1:10" x14ac:dyDescent="0.2">
      <c r="A25" s="13"/>
      <c r="B25" s="14"/>
      <c r="C25" s="13"/>
      <c r="D25" s="13"/>
      <c r="E25" s="13"/>
      <c r="F25" s="13"/>
      <c r="G25" s="13"/>
      <c r="H25" s="13"/>
      <c r="I25" s="15"/>
      <c r="J25" s="15"/>
    </row>
    <row r="26" spans="1:10" x14ac:dyDescent="0.2">
      <c r="A26" s="13"/>
      <c r="B26" s="14"/>
      <c r="C26" s="13"/>
      <c r="D26" s="13"/>
      <c r="E26" s="13"/>
      <c r="F26" s="13"/>
      <c r="G26" s="13"/>
      <c r="H26" s="13"/>
      <c r="I26" s="15"/>
      <c r="J26" s="15"/>
    </row>
    <row r="27" spans="1:10" x14ac:dyDescent="0.2">
      <c r="A27" s="13"/>
      <c r="B27" s="14"/>
      <c r="C27" s="13"/>
      <c r="D27" s="13"/>
      <c r="E27" s="13"/>
      <c r="F27" s="13"/>
      <c r="G27" s="13"/>
      <c r="H27" s="13"/>
      <c r="I27" s="15"/>
      <c r="J27" s="15"/>
    </row>
    <row r="28" spans="1:10" x14ac:dyDescent="0.2">
      <c r="A28" s="13"/>
      <c r="B28" s="14"/>
      <c r="C28" s="13"/>
      <c r="D28" s="13"/>
      <c r="E28" s="13"/>
      <c r="F28" s="13"/>
      <c r="G28" s="13"/>
      <c r="H28" s="13"/>
      <c r="I28" s="15"/>
      <c r="J28" s="15"/>
    </row>
    <row r="29" spans="1:10" x14ac:dyDescent="0.2">
      <c r="A29" s="13"/>
      <c r="B29" s="14"/>
      <c r="C29" s="13"/>
      <c r="D29" s="13"/>
      <c r="E29" s="13"/>
      <c r="F29" s="13"/>
      <c r="G29" s="13"/>
      <c r="H29" s="13"/>
      <c r="I29" s="15"/>
      <c r="J29" s="15"/>
    </row>
    <row r="30" spans="1:10" x14ac:dyDescent="0.2">
      <c r="A30" s="13"/>
      <c r="B30" s="14"/>
      <c r="C30" s="13"/>
      <c r="D30" s="13"/>
      <c r="E30" s="13"/>
      <c r="F30" s="13"/>
      <c r="G30" s="13"/>
      <c r="H30" s="13"/>
      <c r="I30" s="15"/>
      <c r="J30" s="15"/>
    </row>
    <row r="31" spans="1:10" x14ac:dyDescent="0.2">
      <c r="A31" s="13"/>
      <c r="B31" s="14"/>
      <c r="C31" s="13"/>
      <c r="D31" s="13"/>
      <c r="E31" s="13"/>
      <c r="F31" s="13"/>
      <c r="G31" s="13"/>
      <c r="H31" s="13"/>
      <c r="I31" s="15"/>
      <c r="J31" s="15"/>
    </row>
    <row r="32" spans="1:10" x14ac:dyDescent="0.2">
      <c r="A32" s="13"/>
      <c r="B32" s="14"/>
      <c r="C32" s="13"/>
      <c r="D32" s="13"/>
      <c r="E32" s="13"/>
      <c r="F32" s="13"/>
      <c r="G32" s="13"/>
      <c r="H32" s="13"/>
      <c r="I32" s="15"/>
      <c r="J32" s="15"/>
    </row>
    <row r="33" spans="1:10" x14ac:dyDescent="0.2">
      <c r="A33" s="13"/>
      <c r="B33" s="14"/>
      <c r="C33" s="13"/>
      <c r="D33" s="13"/>
      <c r="E33" s="13"/>
      <c r="F33" s="13"/>
      <c r="G33" s="13"/>
      <c r="H33" s="13"/>
      <c r="I33" s="15"/>
      <c r="J33" s="15"/>
    </row>
    <row r="34" spans="1:10" x14ac:dyDescent="0.2">
      <c r="A34" s="13"/>
      <c r="B34" s="14"/>
      <c r="C34" s="13"/>
      <c r="D34" s="13"/>
      <c r="E34" s="13"/>
      <c r="F34" s="13"/>
      <c r="G34" s="13"/>
      <c r="H34" s="13"/>
      <c r="I34" s="15"/>
      <c r="J34" s="15"/>
    </row>
    <row r="35" spans="1:10" x14ac:dyDescent="0.2">
      <c r="A35" s="13"/>
      <c r="B35" s="14"/>
      <c r="C35" s="13"/>
      <c r="D35" s="13"/>
      <c r="E35" s="13"/>
      <c r="F35" s="13"/>
      <c r="G35" s="13"/>
      <c r="H35" s="13"/>
      <c r="I35" s="15"/>
      <c r="J35" s="15"/>
    </row>
    <row r="36" spans="1:10" x14ac:dyDescent="0.2">
      <c r="A36" s="13"/>
      <c r="B36" s="14"/>
      <c r="C36" s="13"/>
      <c r="D36" s="13"/>
      <c r="E36" s="13"/>
      <c r="F36" s="13"/>
      <c r="G36" s="13"/>
      <c r="H36" s="13"/>
      <c r="I36" s="15"/>
      <c r="J36" s="15"/>
    </row>
    <row r="37" spans="1:10" x14ac:dyDescent="0.2">
      <c r="A37" s="13"/>
      <c r="B37" s="14"/>
      <c r="C37" s="13"/>
      <c r="D37" s="13"/>
      <c r="E37" s="13"/>
      <c r="F37" s="13"/>
      <c r="G37" s="13"/>
      <c r="H37" s="13"/>
      <c r="I37" s="15"/>
      <c r="J37" s="15"/>
    </row>
    <row r="38" spans="1:10" x14ac:dyDescent="0.2">
      <c r="A38" s="13"/>
      <c r="B38" s="14"/>
      <c r="C38" s="13"/>
      <c r="D38" s="13"/>
      <c r="E38" s="13"/>
      <c r="F38" s="13"/>
      <c r="G38" s="13"/>
      <c r="H38" s="13"/>
      <c r="I38" s="15"/>
      <c r="J38" s="15"/>
    </row>
    <row r="39" spans="1:10" x14ac:dyDescent="0.2">
      <c r="A39" s="13"/>
      <c r="B39" s="14"/>
      <c r="C39" s="13"/>
      <c r="D39" s="13"/>
      <c r="E39" s="13"/>
      <c r="F39" s="13"/>
      <c r="G39" s="13"/>
      <c r="H39" s="13"/>
      <c r="I39" s="15"/>
      <c r="J39" s="15"/>
    </row>
    <row r="40" spans="1:10" x14ac:dyDescent="0.2">
      <c r="A40" s="13"/>
      <c r="B40" s="14"/>
      <c r="C40" s="13"/>
      <c r="D40" s="13"/>
      <c r="E40" s="13"/>
      <c r="F40" s="13"/>
      <c r="G40" s="13"/>
      <c r="H40" s="13"/>
      <c r="I40" s="15"/>
      <c r="J40" s="15"/>
    </row>
    <row r="41" spans="1:10" x14ac:dyDescent="0.2">
      <c r="A41" s="13"/>
      <c r="B41" s="14"/>
      <c r="C41" s="13"/>
      <c r="D41" s="13"/>
      <c r="E41" s="13"/>
      <c r="F41" s="13"/>
      <c r="G41" s="13"/>
      <c r="H41" s="13"/>
      <c r="I41" s="15"/>
      <c r="J41" s="15"/>
    </row>
    <row r="42" spans="1:10" x14ac:dyDescent="0.2">
      <c r="A42" s="13"/>
      <c r="B42" s="14"/>
      <c r="C42" s="13"/>
      <c r="D42" s="13"/>
      <c r="E42" s="13"/>
      <c r="F42" s="13"/>
      <c r="G42" s="13"/>
      <c r="H42" s="13"/>
      <c r="I42" s="15"/>
      <c r="J42" s="15"/>
    </row>
    <row r="43" spans="1:10" x14ac:dyDescent="0.2">
      <c r="A43" s="13"/>
      <c r="B43" s="14"/>
      <c r="C43" s="13"/>
      <c r="D43" s="13"/>
      <c r="E43" s="13"/>
      <c r="F43" s="13"/>
      <c r="G43" s="13"/>
      <c r="H43" s="13"/>
      <c r="I43" s="15"/>
      <c r="J43" s="15"/>
    </row>
    <row r="44" spans="1:10" x14ac:dyDescent="0.2">
      <c r="A44" s="13"/>
      <c r="B44" s="14"/>
      <c r="C44" s="13"/>
      <c r="D44" s="13"/>
      <c r="E44" s="13"/>
      <c r="F44" s="13"/>
      <c r="G44" s="13"/>
      <c r="H44" s="13"/>
      <c r="I44" s="15"/>
      <c r="J44" s="15"/>
    </row>
    <row r="45" spans="1:10" x14ac:dyDescent="0.2">
      <c r="A45" s="13"/>
      <c r="B45" s="14"/>
      <c r="C45" s="13"/>
      <c r="D45" s="13"/>
      <c r="E45" s="13"/>
      <c r="F45" s="13"/>
      <c r="G45" s="13"/>
      <c r="H45" s="13"/>
      <c r="I45" s="15"/>
      <c r="J45" s="15"/>
    </row>
    <row r="46" spans="1:10" x14ac:dyDescent="0.2">
      <c r="A46" s="13"/>
      <c r="B46" s="14"/>
      <c r="C46" s="13"/>
      <c r="D46" s="13"/>
      <c r="E46" s="13"/>
      <c r="F46" s="13"/>
      <c r="G46" s="13"/>
      <c r="H46" s="13"/>
      <c r="I46" s="15"/>
      <c r="J46" s="15"/>
    </row>
    <row r="47" spans="1:10" x14ac:dyDescent="0.2">
      <c r="A47" s="13"/>
      <c r="B47" s="14"/>
      <c r="C47" s="13"/>
      <c r="D47" s="13"/>
      <c r="E47" s="13"/>
      <c r="F47" s="13"/>
      <c r="G47" s="13"/>
      <c r="H47" s="13"/>
      <c r="I47" s="15"/>
      <c r="J47" s="15"/>
    </row>
    <row r="48" spans="1:10" x14ac:dyDescent="0.2">
      <c r="A48" s="13"/>
      <c r="B48" s="14"/>
      <c r="C48" s="13"/>
      <c r="D48" s="13"/>
      <c r="E48" s="13"/>
      <c r="F48" s="13"/>
      <c r="G48" s="13"/>
      <c r="H48" s="13"/>
      <c r="I48" s="15"/>
      <c r="J48" s="15"/>
    </row>
    <row r="49" spans="1:10" x14ac:dyDescent="0.2">
      <c r="A49" s="13"/>
      <c r="B49" s="14"/>
      <c r="C49" s="13"/>
      <c r="D49" s="13"/>
      <c r="E49" s="13"/>
      <c r="F49" s="13"/>
      <c r="G49" s="13"/>
      <c r="H49" s="13"/>
      <c r="I49" s="15"/>
      <c r="J49" s="15"/>
    </row>
    <row r="50" spans="1:10" x14ac:dyDescent="0.2">
      <c r="A50" s="13"/>
      <c r="B50" s="14"/>
      <c r="C50" s="13"/>
      <c r="D50" s="13"/>
      <c r="E50" s="13"/>
      <c r="F50" s="13"/>
      <c r="G50" s="13"/>
      <c r="H50" s="13"/>
      <c r="I50" s="15"/>
      <c r="J50" s="15"/>
    </row>
    <row r="51" spans="1:10" x14ac:dyDescent="0.2">
      <c r="A51" s="13"/>
      <c r="B51" s="14"/>
      <c r="C51" s="13"/>
      <c r="D51" s="13"/>
      <c r="E51" s="13"/>
      <c r="F51" s="13"/>
      <c r="G51" s="13"/>
      <c r="H51" s="13"/>
      <c r="I51" s="15"/>
      <c r="J51" s="15"/>
    </row>
    <row r="52" spans="1:10" x14ac:dyDescent="0.2">
      <c r="A52" s="13"/>
      <c r="B52" s="14"/>
      <c r="C52" s="13"/>
      <c r="D52" s="13"/>
      <c r="E52" s="13"/>
      <c r="F52" s="13"/>
      <c r="G52" s="13"/>
      <c r="H52" s="13"/>
      <c r="I52" s="15"/>
      <c r="J52" s="15"/>
    </row>
    <row r="53" spans="1:10" x14ac:dyDescent="0.2">
      <c r="A53" s="13"/>
      <c r="B53" s="14"/>
      <c r="C53" s="13"/>
      <c r="D53" s="13"/>
      <c r="E53" s="13"/>
      <c r="F53" s="13"/>
      <c r="G53" s="13"/>
      <c r="H53" s="13"/>
      <c r="I53" s="15"/>
      <c r="J53" s="15"/>
    </row>
    <row r="54" spans="1:10" x14ac:dyDescent="0.2">
      <c r="A54" s="13"/>
      <c r="B54" s="14"/>
      <c r="C54" s="13"/>
      <c r="D54" s="13"/>
      <c r="E54" s="13"/>
      <c r="F54" s="13"/>
      <c r="G54" s="13"/>
      <c r="H54" s="13"/>
      <c r="I54" s="15"/>
      <c r="J54" s="15"/>
    </row>
    <row r="55" spans="1:10" x14ac:dyDescent="0.2">
      <c r="A55" s="13"/>
      <c r="B55" s="14"/>
      <c r="C55" s="13"/>
      <c r="D55" s="13"/>
      <c r="E55" s="13"/>
      <c r="F55" s="13"/>
      <c r="G55" s="13"/>
      <c r="H55" s="13"/>
      <c r="I55" s="15"/>
      <c r="J55" s="15"/>
    </row>
    <row r="56" spans="1:10" x14ac:dyDescent="0.2">
      <c r="A56" s="13"/>
      <c r="B56" s="14"/>
      <c r="C56" s="13"/>
      <c r="D56" s="13"/>
      <c r="E56" s="13"/>
      <c r="F56" s="13"/>
      <c r="G56" s="13"/>
      <c r="H56" s="13"/>
      <c r="I56" s="15"/>
      <c r="J56" s="15"/>
    </row>
    <row r="57" spans="1:10" x14ac:dyDescent="0.2">
      <c r="A57" s="13"/>
      <c r="B57" s="14"/>
      <c r="C57" s="13"/>
      <c r="D57" s="13"/>
      <c r="E57" s="13"/>
      <c r="F57" s="13"/>
      <c r="G57" s="13"/>
      <c r="H57" s="13"/>
      <c r="I57" s="15"/>
      <c r="J57" s="15"/>
    </row>
    <row r="58" spans="1:10" x14ac:dyDescent="0.2">
      <c r="A58" s="13"/>
      <c r="B58" s="14"/>
      <c r="C58" s="13"/>
      <c r="D58" s="13"/>
      <c r="E58" s="13"/>
      <c r="F58" s="13"/>
      <c r="G58" s="13"/>
      <c r="H58" s="13"/>
      <c r="I58" s="15"/>
      <c r="J58" s="15"/>
    </row>
    <row r="59" spans="1:10" x14ac:dyDescent="0.2">
      <c r="A59" s="13"/>
      <c r="B59" s="14"/>
      <c r="C59" s="13"/>
      <c r="D59" s="13"/>
      <c r="E59" s="13"/>
      <c r="F59" s="13"/>
      <c r="G59" s="13"/>
      <c r="H59" s="13"/>
      <c r="I59" s="15"/>
      <c r="J59" s="15"/>
    </row>
    <row r="60" spans="1:10" x14ac:dyDescent="0.2">
      <c r="A60" s="13"/>
      <c r="B60" s="14"/>
      <c r="C60" s="13"/>
      <c r="D60" s="13"/>
      <c r="E60" s="13"/>
      <c r="F60" s="13"/>
      <c r="G60" s="13"/>
      <c r="H60" s="13"/>
      <c r="I60" s="15"/>
      <c r="J60" s="15"/>
    </row>
    <row r="61" spans="1:10" x14ac:dyDescent="0.2">
      <c r="A61" s="13"/>
      <c r="B61" s="14"/>
      <c r="C61" s="13"/>
      <c r="D61" s="13"/>
      <c r="E61" s="13"/>
      <c r="F61" s="13"/>
      <c r="G61" s="13"/>
      <c r="H61" s="13"/>
      <c r="I61" s="15"/>
      <c r="J61" s="15"/>
    </row>
    <row r="62" spans="1:10" x14ac:dyDescent="0.2">
      <c r="A62" s="13"/>
      <c r="B62" s="14"/>
      <c r="C62" s="13"/>
      <c r="D62" s="13"/>
      <c r="E62" s="13"/>
      <c r="F62" s="13"/>
      <c r="G62" s="13"/>
      <c r="H62" s="13"/>
      <c r="I62" s="15"/>
      <c r="J62" s="15"/>
    </row>
    <row r="63" spans="1:10" x14ac:dyDescent="0.2">
      <c r="A63" s="13"/>
      <c r="B63" s="14"/>
      <c r="C63" s="13"/>
      <c r="D63" s="13"/>
      <c r="E63" s="13"/>
      <c r="F63" s="13"/>
      <c r="G63" s="13"/>
      <c r="H63" s="13"/>
      <c r="I63" s="15"/>
      <c r="J63" s="15"/>
    </row>
    <row r="64" spans="1:10" x14ac:dyDescent="0.2">
      <c r="A64" s="13"/>
      <c r="B64" s="14"/>
      <c r="C64" s="13"/>
      <c r="D64" s="13"/>
      <c r="E64" s="13"/>
      <c r="F64" s="13"/>
      <c r="G64" s="13"/>
      <c r="H64" s="13"/>
      <c r="I64" s="15"/>
      <c r="J64" s="15"/>
    </row>
    <row r="65" spans="1:10" x14ac:dyDescent="0.2">
      <c r="A65" s="13"/>
      <c r="B65" s="14"/>
      <c r="C65" s="13"/>
      <c r="D65" s="13"/>
      <c r="E65" s="13"/>
      <c r="F65" s="13"/>
      <c r="G65" s="13"/>
      <c r="H65" s="13"/>
      <c r="I65" s="15"/>
      <c r="J65" s="15"/>
    </row>
    <row r="66" spans="1:10" x14ac:dyDescent="0.2">
      <c r="A66" s="13"/>
      <c r="B66" s="14"/>
      <c r="C66" s="13"/>
      <c r="D66" s="13"/>
      <c r="E66" s="13"/>
      <c r="F66" s="13"/>
      <c r="G66" s="13"/>
      <c r="H66" s="13"/>
      <c r="I66" s="15"/>
      <c r="J66" s="15"/>
    </row>
    <row r="67" spans="1:10" x14ac:dyDescent="0.2">
      <c r="A67" s="13"/>
      <c r="B67" s="14"/>
      <c r="C67" s="13"/>
      <c r="D67" s="13"/>
      <c r="E67" s="13"/>
      <c r="F67" s="13"/>
      <c r="G67" s="13"/>
      <c r="H67" s="13"/>
      <c r="I67" s="15"/>
      <c r="J67" s="15"/>
    </row>
    <row r="68" spans="1:10" x14ac:dyDescent="0.2">
      <c r="A68" s="13"/>
      <c r="B68" s="14"/>
      <c r="C68" s="13"/>
      <c r="D68" s="13"/>
      <c r="E68" s="13"/>
      <c r="F68" s="13"/>
      <c r="G68" s="13"/>
      <c r="H68" s="13"/>
      <c r="I68" s="15"/>
      <c r="J68" s="15"/>
    </row>
    <row r="69" spans="1:10" x14ac:dyDescent="0.2">
      <c r="A69" s="13"/>
      <c r="B69" s="14"/>
      <c r="C69" s="13"/>
      <c r="D69" s="13"/>
      <c r="E69" s="13"/>
      <c r="F69" s="13"/>
      <c r="G69" s="13"/>
      <c r="H69" s="13"/>
      <c r="I69" s="15"/>
      <c r="J69" s="15"/>
    </row>
    <row r="70" spans="1:10" x14ac:dyDescent="0.2">
      <c r="A70" s="13"/>
      <c r="B70" s="14"/>
      <c r="C70" s="13"/>
      <c r="D70" s="13"/>
      <c r="E70" s="13"/>
      <c r="F70" s="13"/>
      <c r="G70" s="13"/>
      <c r="H70" s="13"/>
      <c r="I70" s="15"/>
      <c r="J70" s="15"/>
    </row>
    <row r="71" spans="1:10" x14ac:dyDescent="0.2">
      <c r="A71" s="13"/>
      <c r="B71" s="14"/>
      <c r="C71" s="13"/>
      <c r="D71" s="13"/>
      <c r="E71" s="13"/>
      <c r="F71" s="13"/>
      <c r="G71" s="13"/>
      <c r="H71" s="13"/>
      <c r="I71" s="15"/>
      <c r="J71" s="15"/>
    </row>
    <row r="72" spans="1:10" x14ac:dyDescent="0.2">
      <c r="A72" s="13"/>
      <c r="B72" s="14"/>
      <c r="C72" s="13"/>
      <c r="D72" s="13"/>
      <c r="E72" s="13"/>
      <c r="F72" s="13"/>
      <c r="G72" s="13"/>
      <c r="H72" s="13"/>
      <c r="I72" s="15"/>
      <c r="J72" s="15"/>
    </row>
    <row r="73" spans="1:10" x14ac:dyDescent="0.2">
      <c r="A73" s="13"/>
      <c r="B73" s="14"/>
      <c r="C73" s="13"/>
      <c r="D73" s="13"/>
      <c r="E73" s="13"/>
      <c r="F73" s="13"/>
      <c r="G73" s="13"/>
      <c r="H73" s="13"/>
      <c r="I73" s="15"/>
      <c r="J73" s="15"/>
    </row>
    <row r="74" spans="1:10" x14ac:dyDescent="0.2">
      <c r="A74" s="13"/>
      <c r="B74" s="14"/>
      <c r="C74" s="13"/>
      <c r="D74" s="13"/>
      <c r="E74" s="13"/>
      <c r="F74" s="13"/>
      <c r="G74" s="13"/>
      <c r="H74" s="13"/>
      <c r="I74" s="15"/>
      <c r="J74" s="15"/>
    </row>
    <row r="75" spans="1:10" x14ac:dyDescent="0.2">
      <c r="A75" s="13"/>
      <c r="B75" s="14"/>
      <c r="C75" s="13"/>
      <c r="D75" s="13"/>
      <c r="E75" s="13"/>
      <c r="F75" s="13"/>
      <c r="G75" s="13"/>
      <c r="H75" s="13"/>
      <c r="I75" s="15"/>
      <c r="J75" s="15"/>
    </row>
    <row r="76" spans="1:10" x14ac:dyDescent="0.2">
      <c r="A76" s="13"/>
      <c r="B76" s="14"/>
      <c r="C76" s="13"/>
      <c r="D76" s="13"/>
      <c r="E76" s="13"/>
      <c r="F76" s="13"/>
      <c r="G76" s="13"/>
      <c r="H76" s="13"/>
      <c r="I76" s="15"/>
      <c r="J76" s="15"/>
    </row>
    <row r="77" spans="1:10" x14ac:dyDescent="0.2">
      <c r="A77" s="13"/>
      <c r="B77" s="14"/>
      <c r="C77" s="13"/>
      <c r="D77" s="13"/>
      <c r="E77" s="13"/>
      <c r="F77" s="13"/>
      <c r="G77" s="13"/>
      <c r="H77" s="13"/>
      <c r="I77" s="15"/>
      <c r="J77" s="15"/>
    </row>
    <row r="78" spans="1:10" x14ac:dyDescent="0.2">
      <c r="A78" s="13"/>
      <c r="B78" s="14"/>
      <c r="C78" s="13"/>
      <c r="D78" s="13"/>
      <c r="E78" s="13"/>
      <c r="F78" s="13"/>
      <c r="G78" s="13"/>
      <c r="H78" s="13"/>
      <c r="I78" s="15"/>
      <c r="J78" s="15"/>
    </row>
    <row r="79" spans="1:10" x14ac:dyDescent="0.2">
      <c r="A79" s="13"/>
      <c r="B79" s="14"/>
      <c r="C79" s="13"/>
      <c r="D79" s="13"/>
      <c r="E79" s="13"/>
      <c r="F79" s="13"/>
      <c r="G79" s="13"/>
      <c r="H79" s="13"/>
      <c r="I79" s="15"/>
      <c r="J79" s="15"/>
    </row>
    <row r="80" spans="1:10" x14ac:dyDescent="0.2">
      <c r="A80" s="13"/>
      <c r="B80" s="14"/>
      <c r="C80" s="13"/>
      <c r="D80" s="13"/>
      <c r="E80" s="13"/>
      <c r="F80" s="13"/>
      <c r="G80" s="13"/>
      <c r="H80" s="13"/>
      <c r="I80" s="15"/>
      <c r="J80" s="15"/>
    </row>
    <row r="81" spans="1:10" x14ac:dyDescent="0.2">
      <c r="A81" s="13"/>
      <c r="B81" s="14"/>
      <c r="C81" s="13"/>
      <c r="D81" s="13"/>
      <c r="E81" s="13"/>
      <c r="F81" s="13"/>
      <c r="G81" s="13"/>
      <c r="H81" s="13"/>
      <c r="I81" s="15"/>
      <c r="J81" s="15"/>
    </row>
    <row r="82" spans="1:10" x14ac:dyDescent="0.2">
      <c r="A82" s="13"/>
      <c r="B82" s="14"/>
      <c r="C82" s="13"/>
      <c r="D82" s="13"/>
      <c r="E82" s="13"/>
      <c r="F82" s="13"/>
      <c r="G82" s="13"/>
      <c r="H82" s="13"/>
      <c r="I82" s="15"/>
      <c r="J82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J23"/>
  <sheetViews>
    <sheetView workbookViewId="0">
      <pane xSplit="7" ySplit="1" topLeftCell="L2" activePane="bottomRight" state="frozen"/>
      <selection pane="topRight" activeCell="H1" sqref="H1"/>
      <selection pane="bottomLeft" activeCell="A2" sqref="A2"/>
      <selection pane="bottomRight" activeCell="A2" sqref="A2"/>
    </sheetView>
  </sheetViews>
  <sheetFormatPr baseColWidth="10" defaultRowHeight="12.75" x14ac:dyDescent="0.2"/>
  <cols>
    <col min="7" max="7" width="41.140625" customWidth="1"/>
    <col min="8" max="8" width="32.140625" customWidth="1"/>
    <col min="46" max="46" width="42.7109375" customWidth="1"/>
  </cols>
  <sheetData>
    <row r="1" spans="1:10" x14ac:dyDescent="0.2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181</v>
      </c>
      <c r="F1" s="13" t="s">
        <v>182</v>
      </c>
      <c r="G1" s="13" t="s">
        <v>183</v>
      </c>
      <c r="H1" s="13" t="s">
        <v>184</v>
      </c>
      <c r="I1" s="13" t="s">
        <v>185</v>
      </c>
      <c r="J1" s="13" t="s">
        <v>186</v>
      </c>
    </row>
    <row r="2" spans="1:10" x14ac:dyDescent="0.2">
      <c r="A2" s="13"/>
      <c r="B2" s="14"/>
      <c r="C2" s="13"/>
      <c r="D2" s="13"/>
      <c r="E2" s="13"/>
      <c r="F2" s="13"/>
      <c r="G2" s="13"/>
      <c r="H2" s="13"/>
      <c r="I2" s="15"/>
      <c r="J2" s="15"/>
    </row>
    <row r="3" spans="1:10" x14ac:dyDescent="0.2">
      <c r="A3" s="13"/>
      <c r="B3" s="14"/>
      <c r="C3" s="13"/>
      <c r="D3" s="13"/>
      <c r="E3" s="13"/>
      <c r="F3" s="13"/>
      <c r="G3" s="13"/>
      <c r="H3" s="13"/>
      <c r="I3" s="15"/>
      <c r="J3" s="15"/>
    </row>
    <row r="4" spans="1:10" x14ac:dyDescent="0.2">
      <c r="A4" s="13"/>
      <c r="B4" s="14"/>
      <c r="C4" s="13"/>
      <c r="D4" s="13"/>
      <c r="E4" s="13"/>
      <c r="F4" s="13"/>
      <c r="G4" s="13"/>
      <c r="H4" s="13"/>
      <c r="I4" s="15"/>
      <c r="J4" s="15"/>
    </row>
    <row r="5" spans="1:10" x14ac:dyDescent="0.2">
      <c r="A5" s="13"/>
      <c r="B5" s="14"/>
      <c r="C5" s="13"/>
      <c r="D5" s="13"/>
      <c r="E5" s="13"/>
      <c r="F5" s="13"/>
      <c r="G5" s="13"/>
      <c r="H5" s="13"/>
      <c r="I5" s="15"/>
      <c r="J5" s="15"/>
    </row>
    <row r="6" spans="1:10" x14ac:dyDescent="0.2">
      <c r="A6" s="13"/>
      <c r="B6" s="14"/>
      <c r="C6" s="13"/>
      <c r="D6" s="13"/>
      <c r="E6" s="13"/>
      <c r="F6" s="13"/>
      <c r="G6" s="13"/>
      <c r="H6" s="13"/>
      <c r="I6" s="15"/>
      <c r="J6" s="15"/>
    </row>
    <row r="7" spans="1:10" x14ac:dyDescent="0.2">
      <c r="A7" s="13"/>
      <c r="B7" s="14"/>
      <c r="C7" s="13"/>
      <c r="D7" s="13"/>
      <c r="E7" s="13"/>
      <c r="F7" s="13"/>
      <c r="G7" s="13"/>
      <c r="H7" s="13"/>
      <c r="I7" s="15"/>
      <c r="J7" s="15"/>
    </row>
    <row r="8" spans="1:10" x14ac:dyDescent="0.2">
      <c r="A8" s="13"/>
      <c r="B8" s="14"/>
      <c r="C8" s="13"/>
      <c r="D8" s="13"/>
      <c r="E8" s="13"/>
      <c r="F8" s="13"/>
      <c r="G8" s="13"/>
      <c r="H8" s="13"/>
      <c r="I8" s="15"/>
      <c r="J8" s="15"/>
    </row>
    <row r="9" spans="1:10" x14ac:dyDescent="0.2">
      <c r="A9" s="13"/>
      <c r="B9" s="14"/>
      <c r="C9" s="13"/>
      <c r="D9" s="13"/>
      <c r="E9" s="13"/>
      <c r="F9" s="13"/>
      <c r="G9" s="13"/>
      <c r="H9" s="13"/>
      <c r="I9" s="15"/>
      <c r="J9" s="15"/>
    </row>
    <row r="10" spans="1:10" x14ac:dyDescent="0.2">
      <c r="A10" s="13"/>
      <c r="B10" s="14"/>
      <c r="C10" s="13"/>
      <c r="D10" s="13"/>
      <c r="E10" s="13"/>
      <c r="F10" s="13"/>
      <c r="G10" s="13"/>
      <c r="H10" s="13"/>
      <c r="I10" s="15"/>
      <c r="J10" s="15"/>
    </row>
    <row r="11" spans="1:10" x14ac:dyDescent="0.2">
      <c r="A11" s="13"/>
      <c r="B11" s="14"/>
      <c r="C11" s="13"/>
      <c r="D11" s="13"/>
      <c r="E11" s="13"/>
      <c r="F11" s="13"/>
      <c r="G11" s="13"/>
      <c r="H11" s="13"/>
      <c r="I11" s="15"/>
      <c r="J11" s="15"/>
    </row>
    <row r="12" spans="1:10" x14ac:dyDescent="0.2">
      <c r="A12" s="13"/>
      <c r="B12" s="14"/>
      <c r="C12" s="13"/>
      <c r="D12" s="13"/>
      <c r="E12" s="13"/>
      <c r="F12" s="13"/>
      <c r="G12" s="13"/>
      <c r="H12" s="13"/>
      <c r="I12" s="15"/>
      <c r="J12" s="15"/>
    </row>
    <row r="13" spans="1:10" x14ac:dyDescent="0.2">
      <c r="A13" s="13"/>
      <c r="B13" s="14"/>
      <c r="C13" s="13"/>
      <c r="D13" s="13"/>
      <c r="E13" s="13"/>
      <c r="F13" s="13"/>
      <c r="G13" s="13"/>
      <c r="H13" s="13"/>
      <c r="I13" s="15"/>
      <c r="J13" s="15"/>
    </row>
    <row r="14" spans="1:10" x14ac:dyDescent="0.2">
      <c r="A14" s="13"/>
      <c r="B14" s="14"/>
      <c r="C14" s="13"/>
      <c r="D14" s="13"/>
      <c r="E14" s="13"/>
      <c r="F14" s="13"/>
      <c r="G14" s="13"/>
      <c r="H14" s="13"/>
      <c r="I14" s="15"/>
      <c r="J14" s="15"/>
    </row>
    <row r="15" spans="1:10" x14ac:dyDescent="0.2">
      <c r="A15" s="13"/>
      <c r="B15" s="14"/>
      <c r="C15" s="13"/>
      <c r="D15" s="13"/>
      <c r="E15" s="13"/>
      <c r="F15" s="13"/>
      <c r="G15" s="13"/>
      <c r="H15" s="13"/>
      <c r="I15" s="15"/>
      <c r="J15" s="15"/>
    </row>
    <row r="16" spans="1:10" x14ac:dyDescent="0.2">
      <c r="A16" s="13"/>
      <c r="B16" s="14"/>
      <c r="C16" s="13"/>
      <c r="D16" s="13"/>
      <c r="E16" s="13"/>
      <c r="F16" s="13"/>
      <c r="G16" s="13"/>
      <c r="H16" s="13"/>
      <c r="I16" s="15"/>
      <c r="J16" s="15"/>
    </row>
    <row r="17" spans="1:10" x14ac:dyDescent="0.2">
      <c r="A17" s="13"/>
      <c r="B17" s="14"/>
      <c r="C17" s="13"/>
      <c r="D17" s="13"/>
      <c r="E17" s="13"/>
      <c r="F17" s="13"/>
      <c r="G17" s="13"/>
      <c r="H17" s="13"/>
      <c r="I17" s="15"/>
      <c r="J17" s="15"/>
    </row>
    <row r="18" spans="1:10" x14ac:dyDescent="0.2">
      <c r="A18" s="13"/>
      <c r="B18" s="14"/>
      <c r="C18" s="13"/>
      <c r="D18" s="13"/>
      <c r="E18" s="13"/>
      <c r="F18" s="13"/>
      <c r="G18" s="13"/>
      <c r="H18" s="13"/>
      <c r="I18" s="15"/>
      <c r="J18" s="15"/>
    </row>
    <row r="19" spans="1:10" x14ac:dyDescent="0.2">
      <c r="A19" s="13"/>
      <c r="B19" s="14"/>
      <c r="C19" s="13"/>
      <c r="D19" s="13"/>
      <c r="E19" s="13"/>
      <c r="F19" s="13"/>
      <c r="G19" s="13"/>
      <c r="H19" s="13"/>
      <c r="I19" s="15"/>
      <c r="J19" s="15"/>
    </row>
    <row r="20" spans="1:10" x14ac:dyDescent="0.2">
      <c r="A20" s="13"/>
      <c r="B20" s="14"/>
      <c r="C20" s="13"/>
      <c r="D20" s="13"/>
      <c r="E20" s="13"/>
      <c r="F20" s="13"/>
      <c r="G20" s="13"/>
      <c r="H20" s="13"/>
      <c r="I20" s="15"/>
      <c r="J20" s="15"/>
    </row>
    <row r="21" spans="1:10" x14ac:dyDescent="0.2">
      <c r="A21" s="13"/>
      <c r="B21" s="14"/>
      <c r="C21" s="13"/>
      <c r="D21" s="13"/>
      <c r="E21" s="13"/>
      <c r="F21" s="13"/>
      <c r="G21" s="13"/>
      <c r="H21" s="13"/>
      <c r="I21" s="15"/>
      <c r="J21" s="15"/>
    </row>
    <row r="22" spans="1:10" x14ac:dyDescent="0.2">
      <c r="A22" s="13"/>
      <c r="B22" s="14"/>
      <c r="C22" s="13"/>
      <c r="D22" s="13"/>
      <c r="E22" s="13"/>
      <c r="F22" s="13"/>
      <c r="G22" s="13"/>
      <c r="H22" s="13"/>
      <c r="I22" s="15"/>
      <c r="J22" s="15"/>
    </row>
    <row r="23" spans="1:10" x14ac:dyDescent="0.2">
      <c r="A23" s="13"/>
      <c r="B23" s="14"/>
      <c r="C23" s="13"/>
      <c r="D23" s="13"/>
      <c r="E23" s="13"/>
      <c r="F23" s="13"/>
      <c r="G23" s="13"/>
      <c r="H23" s="13"/>
      <c r="I23" s="15"/>
      <c r="J23" s="15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J29"/>
  <sheetViews>
    <sheetView workbookViewId="0">
      <selection activeCell="A2" sqref="A2"/>
    </sheetView>
  </sheetViews>
  <sheetFormatPr baseColWidth="10" defaultRowHeight="12.75" x14ac:dyDescent="0.2"/>
  <cols>
    <col min="8" max="8" width="53.7109375" customWidth="1"/>
  </cols>
  <sheetData>
    <row r="1" spans="1:10" x14ac:dyDescent="0.2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181</v>
      </c>
      <c r="F1" s="13" t="s">
        <v>182</v>
      </c>
      <c r="G1" s="13" t="s">
        <v>183</v>
      </c>
      <c r="H1" s="13" t="s">
        <v>184</v>
      </c>
      <c r="I1" s="13" t="s">
        <v>185</v>
      </c>
      <c r="J1" s="13" t="s">
        <v>186</v>
      </c>
    </row>
    <row r="2" spans="1:10" x14ac:dyDescent="0.2">
      <c r="A2" s="13"/>
      <c r="B2" s="14"/>
      <c r="C2" s="13"/>
      <c r="D2" s="13"/>
      <c r="E2" s="13"/>
      <c r="F2" s="13"/>
      <c r="G2" s="13"/>
      <c r="H2" s="13"/>
      <c r="I2" s="15"/>
      <c r="J2" s="15"/>
    </row>
    <row r="3" spans="1:10" x14ac:dyDescent="0.2">
      <c r="A3" s="13"/>
      <c r="B3" s="14"/>
      <c r="C3" s="13"/>
      <c r="D3" s="13"/>
      <c r="E3" s="13"/>
      <c r="F3" s="13"/>
      <c r="G3" s="13"/>
      <c r="H3" s="13"/>
      <c r="I3" s="15"/>
      <c r="J3" s="15"/>
    </row>
    <row r="4" spans="1:10" x14ac:dyDescent="0.2">
      <c r="A4" s="13"/>
      <c r="B4" s="14"/>
      <c r="C4" s="13"/>
      <c r="D4" s="13"/>
      <c r="E4" s="13"/>
      <c r="F4" s="13"/>
      <c r="G4" s="13"/>
      <c r="H4" s="13"/>
      <c r="I4" s="15"/>
      <c r="J4" s="15"/>
    </row>
    <row r="5" spans="1:10" x14ac:dyDescent="0.2">
      <c r="A5" s="13"/>
      <c r="B5" s="14"/>
      <c r="C5" s="13"/>
      <c r="D5" s="13"/>
      <c r="E5" s="13"/>
      <c r="F5" s="13"/>
      <c r="G5" s="13"/>
      <c r="H5" s="13"/>
      <c r="I5" s="15"/>
      <c r="J5" s="15"/>
    </row>
    <row r="6" spans="1:10" x14ac:dyDescent="0.2">
      <c r="A6" s="13"/>
      <c r="B6" s="14"/>
      <c r="C6" s="13"/>
      <c r="D6" s="13"/>
      <c r="E6" s="13"/>
      <c r="F6" s="13"/>
      <c r="G6" s="13"/>
      <c r="H6" s="13"/>
      <c r="I6" s="15"/>
      <c r="J6" s="15"/>
    </row>
    <row r="7" spans="1:10" x14ac:dyDescent="0.2">
      <c r="A7" s="13"/>
      <c r="B7" s="14"/>
      <c r="C7" s="13"/>
      <c r="D7" s="13"/>
      <c r="E7" s="13"/>
      <c r="F7" s="13"/>
      <c r="G7" s="13"/>
      <c r="H7" s="13"/>
      <c r="I7" s="15"/>
      <c r="J7" s="15"/>
    </row>
    <row r="8" spans="1:10" x14ac:dyDescent="0.2">
      <c r="A8" s="13"/>
      <c r="B8" s="14"/>
      <c r="C8" s="13"/>
      <c r="D8" s="13"/>
      <c r="E8" s="13"/>
      <c r="F8" s="13"/>
      <c r="G8" s="13"/>
      <c r="H8" s="13"/>
      <c r="I8" s="15"/>
      <c r="J8" s="15"/>
    </row>
    <row r="9" spans="1:10" x14ac:dyDescent="0.2">
      <c r="A9" s="13"/>
      <c r="B9" s="14"/>
      <c r="C9" s="13"/>
      <c r="D9" s="13"/>
      <c r="E9" s="13"/>
      <c r="F9" s="13"/>
      <c r="G9" s="13"/>
      <c r="H9" s="13"/>
      <c r="I9" s="15"/>
      <c r="J9" s="15"/>
    </row>
    <row r="10" spans="1:10" x14ac:dyDescent="0.2">
      <c r="A10" s="13"/>
      <c r="B10" s="14"/>
      <c r="C10" s="13"/>
      <c r="D10" s="13"/>
      <c r="E10" s="13"/>
      <c r="F10" s="13"/>
      <c r="G10" s="13"/>
      <c r="H10" s="13"/>
      <c r="I10" s="15"/>
      <c r="J10" s="15"/>
    </row>
    <row r="11" spans="1:10" x14ac:dyDescent="0.2">
      <c r="A11" s="13"/>
      <c r="B11" s="14"/>
      <c r="C11" s="13"/>
      <c r="D11" s="13"/>
      <c r="E11" s="13"/>
      <c r="F11" s="13"/>
      <c r="G11" s="13"/>
      <c r="H11" s="13"/>
      <c r="I11" s="15"/>
      <c r="J11" s="15"/>
    </row>
    <row r="12" spans="1:10" x14ac:dyDescent="0.2">
      <c r="A12" s="13"/>
      <c r="B12" s="14"/>
      <c r="C12" s="13"/>
      <c r="D12" s="13"/>
      <c r="E12" s="13"/>
      <c r="F12" s="13"/>
      <c r="G12" s="13"/>
      <c r="H12" s="13"/>
      <c r="I12" s="15"/>
      <c r="J12" s="15"/>
    </row>
    <row r="13" spans="1:10" x14ac:dyDescent="0.2">
      <c r="A13" s="13"/>
      <c r="B13" s="14"/>
      <c r="C13" s="13"/>
      <c r="D13" s="13"/>
      <c r="E13" s="13"/>
      <c r="F13" s="13"/>
      <c r="G13" s="13"/>
      <c r="H13" s="13"/>
      <c r="I13" s="15"/>
      <c r="J13" s="15"/>
    </row>
    <row r="14" spans="1:10" x14ac:dyDescent="0.2">
      <c r="A14" s="13"/>
      <c r="B14" s="14"/>
      <c r="C14" s="13"/>
      <c r="D14" s="13"/>
      <c r="E14" s="13"/>
      <c r="F14" s="13"/>
      <c r="G14" s="13"/>
      <c r="H14" s="13"/>
      <c r="I14" s="15"/>
      <c r="J14" s="15"/>
    </row>
    <row r="15" spans="1:10" x14ac:dyDescent="0.2">
      <c r="A15" s="13"/>
      <c r="B15" s="14"/>
      <c r="C15" s="13"/>
      <c r="D15" s="13"/>
      <c r="E15" s="13"/>
      <c r="F15" s="13"/>
      <c r="G15" s="13"/>
      <c r="H15" s="13"/>
      <c r="I15" s="15"/>
      <c r="J15" s="15"/>
    </row>
    <row r="16" spans="1:10" x14ac:dyDescent="0.2">
      <c r="A16" s="13"/>
      <c r="B16" s="14"/>
      <c r="C16" s="13"/>
      <c r="D16" s="13"/>
      <c r="E16" s="13"/>
      <c r="F16" s="13"/>
      <c r="G16" s="13"/>
      <c r="H16" s="13"/>
      <c r="I16" s="15"/>
      <c r="J16" s="15"/>
    </row>
    <row r="17" spans="1:10" x14ac:dyDescent="0.2">
      <c r="A17" s="13"/>
      <c r="B17" s="14"/>
      <c r="C17" s="13"/>
      <c r="D17" s="13"/>
      <c r="E17" s="13"/>
      <c r="F17" s="13"/>
      <c r="G17" s="13"/>
      <c r="H17" s="13"/>
      <c r="I17" s="15"/>
      <c r="J17" s="15"/>
    </row>
    <row r="18" spans="1:10" x14ac:dyDescent="0.2">
      <c r="A18" s="13"/>
      <c r="B18" s="14"/>
      <c r="C18" s="13"/>
      <c r="D18" s="13"/>
      <c r="E18" s="13"/>
      <c r="F18" s="13"/>
      <c r="G18" s="13"/>
      <c r="H18" s="13"/>
      <c r="I18" s="15"/>
      <c r="J18" s="15"/>
    </row>
    <row r="19" spans="1:10" x14ac:dyDescent="0.2">
      <c r="A19" s="13"/>
      <c r="B19" s="14"/>
      <c r="C19" s="13"/>
      <c r="D19" s="13"/>
      <c r="E19" s="13"/>
      <c r="F19" s="13"/>
      <c r="G19" s="13"/>
      <c r="H19" s="13"/>
      <c r="I19" s="15"/>
      <c r="J19" s="15"/>
    </row>
    <row r="20" spans="1:10" x14ac:dyDescent="0.2">
      <c r="A20" s="13"/>
      <c r="B20" s="14"/>
      <c r="C20" s="13"/>
      <c r="D20" s="13"/>
      <c r="E20" s="13"/>
      <c r="F20" s="13"/>
      <c r="G20" s="13"/>
      <c r="H20" s="13"/>
      <c r="I20" s="15"/>
      <c r="J20" s="15"/>
    </row>
    <row r="21" spans="1:10" x14ac:dyDescent="0.2">
      <c r="A21" s="13"/>
      <c r="B21" s="14"/>
      <c r="C21" s="13"/>
      <c r="D21" s="13"/>
      <c r="E21" s="13"/>
      <c r="F21" s="13"/>
      <c r="G21" s="13"/>
      <c r="H21" s="13"/>
      <c r="I21" s="15"/>
      <c r="J21" s="15"/>
    </row>
    <row r="22" spans="1:10" x14ac:dyDescent="0.2">
      <c r="A22" s="13"/>
      <c r="B22" s="14"/>
      <c r="C22" s="13"/>
      <c r="D22" s="13"/>
      <c r="E22" s="13"/>
      <c r="F22" s="13"/>
      <c r="G22" s="13"/>
      <c r="H22" s="13"/>
      <c r="I22" s="15"/>
      <c r="J22" s="15"/>
    </row>
    <row r="23" spans="1:10" x14ac:dyDescent="0.2">
      <c r="A23" s="13"/>
      <c r="B23" s="14"/>
      <c r="C23" s="13"/>
      <c r="D23" s="13"/>
      <c r="E23" s="13"/>
      <c r="F23" s="13"/>
      <c r="G23" s="13"/>
      <c r="H23" s="13"/>
      <c r="I23" s="15"/>
      <c r="J23" s="15"/>
    </row>
    <row r="24" spans="1:10" x14ac:dyDescent="0.2">
      <c r="A24" s="13"/>
      <c r="B24" s="14"/>
      <c r="C24" s="13"/>
      <c r="D24" s="13"/>
      <c r="E24" s="13"/>
      <c r="F24" s="13"/>
      <c r="G24" s="13"/>
      <c r="H24" s="13"/>
      <c r="I24" s="15"/>
      <c r="J24" s="15"/>
    </row>
    <row r="25" spans="1:10" x14ac:dyDescent="0.2">
      <c r="A25" s="13"/>
      <c r="B25" s="14"/>
      <c r="C25" s="13"/>
      <c r="D25" s="13"/>
      <c r="E25" s="13"/>
      <c r="F25" s="13"/>
      <c r="G25" s="13"/>
      <c r="H25" s="13"/>
      <c r="I25" s="15"/>
      <c r="J25" s="15"/>
    </row>
    <row r="26" spans="1:10" x14ac:dyDescent="0.2">
      <c r="A26" s="13"/>
      <c r="B26" s="14"/>
      <c r="C26" s="13"/>
      <c r="D26" s="13"/>
      <c r="E26" s="13"/>
      <c r="F26" s="13"/>
      <c r="G26" s="13"/>
      <c r="H26" s="13"/>
      <c r="I26" s="15"/>
      <c r="J26" s="15"/>
    </row>
    <row r="27" spans="1:10" x14ac:dyDescent="0.2">
      <c r="A27" s="13"/>
      <c r="B27" s="14"/>
      <c r="C27" s="13"/>
      <c r="D27" s="13"/>
      <c r="E27" s="13"/>
      <c r="F27" s="13"/>
      <c r="G27" s="13"/>
      <c r="H27" s="13"/>
      <c r="I27" s="15"/>
      <c r="J27" s="15"/>
    </row>
    <row r="28" spans="1:10" x14ac:dyDescent="0.2">
      <c r="A28" s="13"/>
      <c r="B28" s="14"/>
      <c r="C28" s="13"/>
      <c r="D28" s="13"/>
      <c r="E28" s="13"/>
      <c r="F28" s="13"/>
      <c r="G28" s="13"/>
      <c r="H28" s="13"/>
      <c r="I28" s="15"/>
      <c r="J28" s="15"/>
    </row>
    <row r="29" spans="1:10" x14ac:dyDescent="0.2">
      <c r="A29" s="13"/>
      <c r="B29" s="14"/>
      <c r="C29" s="13"/>
      <c r="D29" s="13"/>
      <c r="E29" s="13"/>
      <c r="F29" s="13"/>
      <c r="G29" s="13"/>
      <c r="H29" s="13"/>
      <c r="I29" s="15"/>
      <c r="J29" s="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1"/>
  <dimension ref="A1:J4"/>
  <sheetViews>
    <sheetView workbookViewId="0">
      <selection activeCell="J6" sqref="J6"/>
    </sheetView>
  </sheetViews>
  <sheetFormatPr baseColWidth="10" defaultRowHeight="12.75" x14ac:dyDescent="0.2"/>
  <sheetData>
    <row r="1" spans="1:10" x14ac:dyDescent="0.2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181</v>
      </c>
      <c r="F1" s="13" t="s">
        <v>182</v>
      </c>
      <c r="G1" s="13" t="s">
        <v>183</v>
      </c>
      <c r="H1" s="13" t="s">
        <v>184</v>
      </c>
      <c r="I1" s="13" t="s">
        <v>185</v>
      </c>
      <c r="J1" s="13" t="s">
        <v>186</v>
      </c>
    </row>
    <row r="2" spans="1:10" x14ac:dyDescent="0.2">
      <c r="A2" s="13"/>
      <c r="B2" s="14"/>
      <c r="C2" s="13"/>
      <c r="D2" s="13"/>
      <c r="E2" s="13"/>
      <c r="F2" s="13"/>
      <c r="G2" s="13"/>
      <c r="H2" s="13"/>
      <c r="I2" s="15"/>
      <c r="J2" s="15"/>
    </row>
    <row r="3" spans="1:10" x14ac:dyDescent="0.2">
      <c r="A3" s="13"/>
      <c r="B3" s="14"/>
      <c r="C3" s="13"/>
      <c r="D3" s="13"/>
      <c r="E3" s="13"/>
      <c r="F3" s="13"/>
      <c r="G3" s="13"/>
      <c r="H3" s="13"/>
      <c r="I3" s="15"/>
      <c r="J3" s="15"/>
    </row>
    <row r="4" spans="1:10" x14ac:dyDescent="0.2">
      <c r="A4" s="13"/>
      <c r="B4" s="14"/>
      <c r="C4" s="13"/>
      <c r="D4" s="13"/>
      <c r="E4" s="13"/>
      <c r="F4" s="13"/>
      <c r="G4" s="43"/>
      <c r="H4" s="13"/>
      <c r="I4" s="15"/>
      <c r="J4" s="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2"/>
  <dimension ref="A1:AY172"/>
  <sheetViews>
    <sheetView workbookViewId="0"/>
  </sheetViews>
  <sheetFormatPr baseColWidth="10" defaultRowHeight="12.75" x14ac:dyDescent="0.2"/>
  <sheetData>
    <row r="1" spans="1:51" x14ac:dyDescent="0.2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68</v>
      </c>
      <c r="F1" s="13" t="s">
        <v>69</v>
      </c>
      <c r="G1" s="13" t="s">
        <v>70</v>
      </c>
      <c r="H1" s="13" t="s">
        <v>71</v>
      </c>
      <c r="I1" s="13" t="s">
        <v>72</v>
      </c>
      <c r="J1" s="13" t="s">
        <v>73</v>
      </c>
      <c r="K1" s="13" t="s">
        <v>74</v>
      </c>
      <c r="L1" s="13" t="s">
        <v>75</v>
      </c>
      <c r="M1" s="13" t="s">
        <v>76</v>
      </c>
      <c r="N1" s="13" t="s">
        <v>77</v>
      </c>
      <c r="O1" s="13" t="s">
        <v>78</v>
      </c>
      <c r="P1" s="13" t="s">
        <v>79</v>
      </c>
      <c r="Q1" s="13" t="s">
        <v>80</v>
      </c>
      <c r="R1" s="13" t="s">
        <v>81</v>
      </c>
      <c r="S1" s="13" t="s">
        <v>82</v>
      </c>
      <c r="T1" s="13" t="s">
        <v>83</v>
      </c>
      <c r="U1" s="13" t="s">
        <v>84</v>
      </c>
      <c r="V1" s="13" t="s">
        <v>85</v>
      </c>
      <c r="W1" s="13" t="s">
        <v>86</v>
      </c>
      <c r="X1" s="13" t="s">
        <v>87</v>
      </c>
      <c r="Y1" s="13" t="s">
        <v>88</v>
      </c>
      <c r="Z1" s="13" t="s">
        <v>89</v>
      </c>
      <c r="AA1" s="13" t="s">
        <v>90</v>
      </c>
      <c r="AB1" s="13" t="s">
        <v>91</v>
      </c>
      <c r="AC1" s="13" t="s">
        <v>92</v>
      </c>
      <c r="AD1" s="13" t="s">
        <v>93</v>
      </c>
      <c r="AE1" s="13" t="s">
        <v>94</v>
      </c>
      <c r="AF1" s="13" t="s">
        <v>95</v>
      </c>
      <c r="AG1" s="13" t="s">
        <v>96</v>
      </c>
      <c r="AH1" s="13" t="s">
        <v>97</v>
      </c>
      <c r="AI1" s="13" t="s">
        <v>98</v>
      </c>
      <c r="AJ1" s="13" t="s">
        <v>99</v>
      </c>
      <c r="AK1" s="13" t="s">
        <v>100</v>
      </c>
      <c r="AL1" s="13" t="s">
        <v>101</v>
      </c>
      <c r="AM1" s="13" t="s">
        <v>102</v>
      </c>
      <c r="AN1" s="13" t="s">
        <v>103</v>
      </c>
      <c r="AO1" s="13" t="s">
        <v>278</v>
      </c>
      <c r="AP1" s="13" t="s">
        <v>279</v>
      </c>
      <c r="AQ1" s="13" t="s">
        <v>280</v>
      </c>
      <c r="AR1" s="13" t="s">
        <v>104</v>
      </c>
      <c r="AS1" s="13" t="s">
        <v>105</v>
      </c>
      <c r="AT1" s="13" t="s">
        <v>106</v>
      </c>
      <c r="AU1" s="13" t="s">
        <v>107</v>
      </c>
      <c r="AV1" s="13" t="s">
        <v>108</v>
      </c>
      <c r="AW1" s="13" t="s">
        <v>137</v>
      </c>
      <c r="AX1" s="13" t="s">
        <v>138</v>
      </c>
      <c r="AY1" s="13" t="s">
        <v>139</v>
      </c>
    </row>
    <row r="2" spans="1:51" x14ac:dyDescent="0.2">
      <c r="A2" s="13"/>
      <c r="B2" s="14"/>
      <c r="C2" s="13"/>
      <c r="D2" s="13"/>
      <c r="E2" s="14"/>
      <c r="F2" s="13"/>
      <c r="G2" s="14"/>
      <c r="H2" s="13"/>
      <c r="I2" s="13"/>
      <c r="J2" s="13"/>
      <c r="K2" s="13"/>
      <c r="L2" s="13"/>
      <c r="M2" s="13"/>
      <c r="N2" s="13"/>
      <c r="O2" s="13"/>
      <c r="P2" s="14"/>
      <c r="Q2" s="13"/>
      <c r="R2" s="13"/>
      <c r="S2" s="14"/>
      <c r="T2" s="14"/>
      <c r="U2" s="14"/>
      <c r="V2" s="14"/>
      <c r="W2" s="14"/>
      <c r="X2" s="13"/>
      <c r="Y2" s="13"/>
      <c r="Z2" s="15"/>
      <c r="AA2" s="13"/>
      <c r="AB2" s="13"/>
      <c r="AC2" s="13"/>
      <c r="AD2" s="14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5"/>
      <c r="AP2" s="15"/>
      <c r="AQ2" s="13"/>
      <c r="AR2" s="15"/>
      <c r="AS2" s="15"/>
      <c r="AT2" s="13"/>
      <c r="AU2" s="13"/>
      <c r="AV2" s="13"/>
      <c r="AW2" s="13"/>
      <c r="AX2" s="13"/>
      <c r="AY2" s="13"/>
    </row>
    <row r="3" spans="1:51" x14ac:dyDescent="0.2">
      <c r="A3" s="13"/>
      <c r="B3" s="14"/>
      <c r="C3" s="13"/>
      <c r="D3" s="13"/>
      <c r="E3" s="14"/>
      <c r="F3" s="13"/>
      <c r="G3" s="14"/>
      <c r="H3" s="13"/>
      <c r="I3" s="13"/>
      <c r="J3" s="13"/>
      <c r="K3" s="13"/>
      <c r="L3" s="13"/>
      <c r="M3" s="13"/>
      <c r="N3" s="13"/>
      <c r="O3" s="13"/>
      <c r="P3" s="14"/>
      <c r="Q3" s="13"/>
      <c r="R3" s="13"/>
      <c r="S3" s="14"/>
      <c r="T3" s="14"/>
      <c r="U3" s="14"/>
      <c r="V3" s="14"/>
      <c r="W3" s="14"/>
      <c r="X3" s="13"/>
      <c r="Y3" s="13"/>
      <c r="Z3" s="15"/>
      <c r="AA3" s="13"/>
      <c r="AB3" s="13"/>
      <c r="AC3" s="13"/>
      <c r="AD3" s="14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5"/>
      <c r="AP3" s="15"/>
      <c r="AQ3" s="13"/>
      <c r="AR3" s="15"/>
      <c r="AS3" s="15"/>
      <c r="AT3" s="13"/>
      <c r="AU3" s="13"/>
      <c r="AV3" s="13"/>
      <c r="AW3" s="13"/>
      <c r="AX3" s="13"/>
      <c r="AY3" s="13"/>
    </row>
    <row r="4" spans="1:51" x14ac:dyDescent="0.2">
      <c r="A4" s="13"/>
      <c r="B4" s="14"/>
      <c r="C4" s="13"/>
      <c r="D4" s="13"/>
      <c r="E4" s="14"/>
      <c r="F4" s="13"/>
      <c r="G4" s="14"/>
      <c r="H4" s="13"/>
      <c r="I4" s="13"/>
      <c r="J4" s="13"/>
      <c r="K4" s="13"/>
      <c r="L4" s="13"/>
      <c r="M4" s="13"/>
      <c r="N4" s="13"/>
      <c r="O4" s="13"/>
      <c r="P4" s="14"/>
      <c r="Q4" s="13"/>
      <c r="R4" s="13"/>
      <c r="S4" s="14"/>
      <c r="T4" s="14"/>
      <c r="U4" s="14"/>
      <c r="V4" s="14"/>
      <c r="W4" s="14"/>
      <c r="X4" s="13"/>
      <c r="Y4" s="13"/>
      <c r="Z4" s="15"/>
      <c r="AA4" s="13"/>
      <c r="AB4" s="13"/>
      <c r="AC4" s="13"/>
      <c r="AD4" s="14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5"/>
      <c r="AP4" s="15"/>
      <c r="AQ4" s="13"/>
      <c r="AR4" s="15"/>
      <c r="AS4" s="15"/>
      <c r="AT4" s="13"/>
      <c r="AU4" s="13"/>
      <c r="AV4" s="13"/>
      <c r="AW4" s="13"/>
      <c r="AX4" s="13"/>
      <c r="AY4" s="13"/>
    </row>
    <row r="5" spans="1:51" x14ac:dyDescent="0.2">
      <c r="A5" s="13"/>
      <c r="B5" s="14"/>
      <c r="C5" s="13"/>
      <c r="D5" s="13"/>
      <c r="E5" s="14"/>
      <c r="F5" s="13"/>
      <c r="G5" s="14"/>
      <c r="H5" s="13"/>
      <c r="I5" s="13"/>
      <c r="J5" s="13"/>
      <c r="K5" s="13"/>
      <c r="L5" s="13"/>
      <c r="M5" s="13"/>
      <c r="N5" s="13"/>
      <c r="O5" s="13"/>
      <c r="P5" s="14"/>
      <c r="Q5" s="13"/>
      <c r="R5" s="13"/>
      <c r="S5" s="14"/>
      <c r="T5" s="14"/>
      <c r="U5" s="14"/>
      <c r="V5" s="14"/>
      <c r="W5" s="14"/>
      <c r="X5" s="13"/>
      <c r="Y5" s="13"/>
      <c r="Z5" s="15"/>
      <c r="AA5" s="13"/>
      <c r="AB5" s="13"/>
      <c r="AC5" s="13"/>
      <c r="AD5" s="14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5"/>
      <c r="AP5" s="15"/>
      <c r="AQ5" s="13"/>
      <c r="AR5" s="15"/>
      <c r="AS5" s="15"/>
      <c r="AT5" s="13"/>
      <c r="AU5" s="13"/>
      <c r="AV5" s="13"/>
      <c r="AW5" s="13"/>
      <c r="AX5" s="13"/>
      <c r="AY5" s="13"/>
    </row>
    <row r="6" spans="1:51" x14ac:dyDescent="0.2">
      <c r="A6" s="13"/>
      <c r="B6" s="14"/>
      <c r="C6" s="13"/>
      <c r="D6" s="13"/>
      <c r="E6" s="14"/>
      <c r="F6" s="13"/>
      <c r="G6" s="14"/>
      <c r="H6" s="13"/>
      <c r="I6" s="13"/>
      <c r="J6" s="13"/>
      <c r="K6" s="13"/>
      <c r="L6" s="13"/>
      <c r="M6" s="13"/>
      <c r="N6" s="13"/>
      <c r="O6" s="13"/>
      <c r="P6" s="14"/>
      <c r="Q6" s="13"/>
      <c r="R6" s="13"/>
      <c r="S6" s="14"/>
      <c r="T6" s="14"/>
      <c r="U6" s="14"/>
      <c r="V6" s="14"/>
      <c r="W6" s="14"/>
      <c r="X6" s="13"/>
      <c r="Y6" s="13"/>
      <c r="Z6" s="15"/>
      <c r="AA6" s="13"/>
      <c r="AB6" s="13"/>
      <c r="AC6" s="13"/>
      <c r="AD6" s="14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5"/>
      <c r="AP6" s="15"/>
      <c r="AQ6" s="13"/>
      <c r="AR6" s="15"/>
      <c r="AS6" s="15"/>
      <c r="AT6" s="13"/>
      <c r="AU6" s="13"/>
      <c r="AV6" s="13"/>
      <c r="AW6" s="13"/>
      <c r="AX6" s="13"/>
      <c r="AY6" s="13"/>
    </row>
    <row r="7" spans="1:51" x14ac:dyDescent="0.2">
      <c r="A7" s="13"/>
      <c r="B7" s="14"/>
      <c r="C7" s="13"/>
      <c r="D7" s="13"/>
      <c r="E7" s="14"/>
      <c r="F7" s="13"/>
      <c r="G7" s="14"/>
      <c r="H7" s="13"/>
      <c r="I7" s="13"/>
      <c r="J7" s="13"/>
      <c r="K7" s="13"/>
      <c r="L7" s="13"/>
      <c r="M7" s="13"/>
      <c r="N7" s="13"/>
      <c r="O7" s="13"/>
      <c r="P7" s="14"/>
      <c r="Q7" s="13"/>
      <c r="R7" s="13"/>
      <c r="S7" s="14"/>
      <c r="T7" s="14"/>
      <c r="U7" s="14"/>
      <c r="V7" s="14"/>
      <c r="W7" s="14"/>
      <c r="X7" s="13"/>
      <c r="Y7" s="13"/>
      <c r="Z7" s="15"/>
      <c r="AA7" s="13"/>
      <c r="AB7" s="13"/>
      <c r="AC7" s="13"/>
      <c r="AD7" s="14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5"/>
      <c r="AP7" s="15"/>
      <c r="AQ7" s="13"/>
      <c r="AR7" s="15"/>
      <c r="AS7" s="15"/>
      <c r="AT7" s="13"/>
      <c r="AU7" s="13"/>
      <c r="AV7" s="13"/>
      <c r="AW7" s="13"/>
      <c r="AX7" s="13"/>
      <c r="AY7" s="15"/>
    </row>
    <row r="8" spans="1:51" x14ac:dyDescent="0.2">
      <c r="A8" s="13"/>
      <c r="B8" s="14"/>
      <c r="C8" s="13"/>
      <c r="D8" s="13"/>
      <c r="E8" s="14"/>
      <c r="F8" s="13"/>
      <c r="G8" s="14"/>
      <c r="H8" s="13"/>
      <c r="I8" s="13"/>
      <c r="J8" s="13"/>
      <c r="K8" s="13"/>
      <c r="L8" s="13"/>
      <c r="M8" s="13"/>
      <c r="N8" s="13"/>
      <c r="O8" s="13"/>
      <c r="P8" s="14"/>
      <c r="Q8" s="13"/>
      <c r="R8" s="13"/>
      <c r="S8" s="14"/>
      <c r="T8" s="14"/>
      <c r="U8" s="14"/>
      <c r="V8" s="14"/>
      <c r="W8" s="14"/>
      <c r="X8" s="13"/>
      <c r="Y8" s="13"/>
      <c r="Z8" s="15"/>
      <c r="AA8" s="13"/>
      <c r="AB8" s="13"/>
      <c r="AC8" s="13"/>
      <c r="AD8" s="14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5"/>
      <c r="AP8" s="15"/>
      <c r="AQ8" s="13"/>
      <c r="AR8" s="15"/>
      <c r="AS8" s="15"/>
      <c r="AT8" s="13"/>
      <c r="AU8" s="13"/>
      <c r="AV8" s="13"/>
      <c r="AW8" s="13"/>
      <c r="AX8" s="13"/>
      <c r="AY8" s="13"/>
    </row>
    <row r="9" spans="1:51" x14ac:dyDescent="0.2">
      <c r="A9" s="13"/>
      <c r="B9" s="14"/>
      <c r="C9" s="13"/>
      <c r="D9" s="13"/>
      <c r="E9" s="14"/>
      <c r="F9" s="13"/>
      <c r="G9" s="14"/>
      <c r="H9" s="13"/>
      <c r="I9" s="13"/>
      <c r="J9" s="13"/>
      <c r="K9" s="13"/>
      <c r="L9" s="13"/>
      <c r="M9" s="13"/>
      <c r="N9" s="13"/>
      <c r="O9" s="13"/>
      <c r="P9" s="14"/>
      <c r="Q9" s="13"/>
      <c r="R9" s="13"/>
      <c r="S9" s="14"/>
      <c r="T9" s="14"/>
      <c r="U9" s="14"/>
      <c r="V9" s="14"/>
      <c r="W9" s="14"/>
      <c r="X9" s="13"/>
      <c r="Y9" s="13"/>
      <c r="Z9" s="15"/>
      <c r="AA9" s="13"/>
      <c r="AB9" s="13"/>
      <c r="AC9" s="13"/>
      <c r="AD9" s="14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5"/>
      <c r="AP9" s="15"/>
      <c r="AQ9" s="13"/>
      <c r="AR9" s="15"/>
      <c r="AS9" s="15"/>
      <c r="AT9" s="13"/>
      <c r="AU9" s="13"/>
      <c r="AV9" s="13"/>
      <c r="AW9" s="13"/>
      <c r="AX9" s="13"/>
      <c r="AY9" s="13"/>
    </row>
    <row r="10" spans="1:51" x14ac:dyDescent="0.2">
      <c r="A10" s="13"/>
      <c r="B10" s="14"/>
      <c r="C10" s="13"/>
      <c r="D10" s="13"/>
      <c r="E10" s="14"/>
      <c r="F10" s="13"/>
      <c r="G10" s="14"/>
      <c r="H10" s="13"/>
      <c r="I10" s="13"/>
      <c r="J10" s="13"/>
      <c r="K10" s="13"/>
      <c r="L10" s="13"/>
      <c r="M10" s="13"/>
      <c r="N10" s="13"/>
      <c r="O10" s="13"/>
      <c r="P10" s="14"/>
      <c r="Q10" s="13"/>
      <c r="R10" s="13"/>
      <c r="S10" s="14"/>
      <c r="T10" s="14"/>
      <c r="U10" s="14"/>
      <c r="V10" s="14"/>
      <c r="W10" s="14"/>
      <c r="X10" s="13"/>
      <c r="Y10" s="13"/>
      <c r="Z10" s="15"/>
      <c r="AA10" s="13"/>
      <c r="AB10" s="13"/>
      <c r="AC10" s="13"/>
      <c r="AD10" s="14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5"/>
      <c r="AP10" s="15"/>
      <c r="AQ10" s="13"/>
      <c r="AR10" s="15"/>
      <c r="AS10" s="15"/>
      <c r="AT10" s="13"/>
      <c r="AU10" s="13"/>
      <c r="AV10" s="13"/>
      <c r="AW10" s="13"/>
      <c r="AX10" s="13"/>
      <c r="AY10" s="15"/>
    </row>
    <row r="11" spans="1:51" x14ac:dyDescent="0.2">
      <c r="A11" s="13"/>
      <c r="B11" s="14"/>
      <c r="C11" s="13"/>
      <c r="D11" s="13"/>
      <c r="E11" s="14"/>
      <c r="F11" s="13"/>
      <c r="G11" s="14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13"/>
      <c r="S11" s="14"/>
      <c r="T11" s="14"/>
      <c r="U11" s="14"/>
      <c r="V11" s="14"/>
      <c r="W11" s="14"/>
      <c r="X11" s="13"/>
      <c r="Y11" s="13"/>
      <c r="Z11" s="15"/>
      <c r="AA11" s="13"/>
      <c r="AB11" s="13"/>
      <c r="AC11" s="13"/>
      <c r="AD11" s="14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5"/>
      <c r="AP11" s="15"/>
      <c r="AQ11" s="13"/>
      <c r="AR11" s="15"/>
      <c r="AS11" s="15"/>
      <c r="AT11" s="13"/>
      <c r="AU11" s="13"/>
      <c r="AV11" s="13"/>
      <c r="AW11" s="13"/>
      <c r="AX11" s="13"/>
      <c r="AY11" s="13"/>
    </row>
    <row r="12" spans="1:51" x14ac:dyDescent="0.2">
      <c r="A12" s="13"/>
      <c r="B12" s="14"/>
      <c r="C12" s="13"/>
      <c r="D12" s="13"/>
      <c r="E12" s="14"/>
      <c r="F12" s="13"/>
      <c r="G12" s="14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13"/>
      <c r="S12" s="14"/>
      <c r="T12" s="14"/>
      <c r="U12" s="14"/>
      <c r="V12" s="14"/>
      <c r="W12" s="14"/>
      <c r="X12" s="13"/>
      <c r="Y12" s="13"/>
      <c r="Z12" s="15"/>
      <c r="AA12" s="13"/>
      <c r="AB12" s="13"/>
      <c r="AC12" s="13"/>
      <c r="AD12" s="14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5"/>
      <c r="AP12" s="15"/>
      <c r="AQ12" s="13"/>
      <c r="AR12" s="15"/>
      <c r="AS12" s="15"/>
      <c r="AT12" s="13"/>
      <c r="AU12" s="13"/>
      <c r="AV12" s="13"/>
      <c r="AW12" s="13"/>
      <c r="AX12" s="13"/>
      <c r="AY12" s="13"/>
    </row>
    <row r="13" spans="1:51" x14ac:dyDescent="0.2">
      <c r="A13" s="13"/>
      <c r="B13" s="14"/>
      <c r="C13" s="13"/>
      <c r="D13" s="13"/>
      <c r="E13" s="14"/>
      <c r="F13" s="13"/>
      <c r="G13" s="14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13"/>
      <c r="S13" s="14"/>
      <c r="T13" s="14"/>
      <c r="U13" s="14"/>
      <c r="V13" s="14"/>
      <c r="W13" s="14"/>
      <c r="X13" s="13"/>
      <c r="Y13" s="13"/>
      <c r="Z13" s="15"/>
      <c r="AA13" s="13"/>
      <c r="AB13" s="13"/>
      <c r="AC13" s="13"/>
      <c r="AD13" s="14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5"/>
      <c r="AP13" s="15"/>
      <c r="AQ13" s="13"/>
      <c r="AR13" s="15"/>
      <c r="AS13" s="15"/>
      <c r="AT13" s="13"/>
      <c r="AU13" s="13"/>
      <c r="AV13" s="13"/>
      <c r="AW13" s="13"/>
      <c r="AX13" s="13"/>
      <c r="AY13" s="13"/>
    </row>
    <row r="14" spans="1:51" x14ac:dyDescent="0.2">
      <c r="A14" s="13"/>
      <c r="B14" s="14"/>
      <c r="C14" s="13"/>
      <c r="D14" s="13"/>
      <c r="E14" s="14"/>
      <c r="F14" s="13"/>
      <c r="G14" s="14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13"/>
      <c r="S14" s="14"/>
      <c r="T14" s="14"/>
      <c r="U14" s="14"/>
      <c r="V14" s="14"/>
      <c r="W14" s="14"/>
      <c r="X14" s="13"/>
      <c r="Y14" s="13"/>
      <c r="Z14" s="15"/>
      <c r="AA14" s="13"/>
      <c r="AB14" s="13"/>
      <c r="AC14" s="13"/>
      <c r="AD14" s="1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5"/>
      <c r="AP14" s="15"/>
      <c r="AQ14" s="13"/>
      <c r="AR14" s="15"/>
      <c r="AS14" s="15"/>
      <c r="AT14" s="13"/>
      <c r="AU14" s="13"/>
      <c r="AV14" s="13"/>
      <c r="AW14" s="13"/>
      <c r="AX14" s="13"/>
      <c r="AY14" s="13"/>
    </row>
    <row r="15" spans="1:51" x14ac:dyDescent="0.2">
      <c r="A15" s="13"/>
      <c r="B15" s="14"/>
      <c r="C15" s="13"/>
      <c r="D15" s="13"/>
      <c r="E15" s="14"/>
      <c r="F15" s="13"/>
      <c r="G15" s="14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13"/>
      <c r="S15" s="14"/>
      <c r="T15" s="14"/>
      <c r="U15" s="14"/>
      <c r="V15" s="14"/>
      <c r="W15" s="14"/>
      <c r="X15" s="13"/>
      <c r="Y15" s="13"/>
      <c r="Z15" s="15"/>
      <c r="AA15" s="13"/>
      <c r="AB15" s="13"/>
      <c r="AC15" s="13"/>
      <c r="AD15" s="14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5"/>
      <c r="AP15" s="15"/>
      <c r="AQ15" s="13"/>
      <c r="AR15" s="15"/>
      <c r="AS15" s="15"/>
      <c r="AT15" s="13"/>
      <c r="AU15" s="13"/>
      <c r="AV15" s="13"/>
      <c r="AW15" s="13"/>
      <c r="AX15" s="13"/>
      <c r="AY15" s="13"/>
    </row>
    <row r="16" spans="1:51" x14ac:dyDescent="0.2">
      <c r="A16" s="13"/>
      <c r="B16" s="14"/>
      <c r="C16" s="13"/>
      <c r="D16" s="13"/>
      <c r="E16" s="14"/>
      <c r="F16" s="13"/>
      <c r="G16" s="14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13"/>
      <c r="S16" s="14"/>
      <c r="T16" s="14"/>
      <c r="U16" s="14"/>
      <c r="V16" s="14"/>
      <c r="W16" s="14"/>
      <c r="X16" s="13"/>
      <c r="Y16" s="13"/>
      <c r="Z16" s="15"/>
      <c r="AA16" s="13"/>
      <c r="AB16" s="13"/>
      <c r="AC16" s="13"/>
      <c r="AD16" s="14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5"/>
      <c r="AP16" s="15"/>
      <c r="AQ16" s="13"/>
      <c r="AR16" s="15"/>
      <c r="AS16" s="15"/>
      <c r="AT16" s="13"/>
      <c r="AU16" s="13"/>
      <c r="AV16" s="13"/>
      <c r="AW16" s="13"/>
      <c r="AX16" s="13"/>
      <c r="AY16" s="13"/>
    </row>
    <row r="17" spans="1:51" x14ac:dyDescent="0.2">
      <c r="A17" s="13"/>
      <c r="B17" s="14"/>
      <c r="C17" s="13"/>
      <c r="D17" s="13"/>
      <c r="E17" s="14"/>
      <c r="F17" s="13"/>
      <c r="G17" s="14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13"/>
      <c r="S17" s="14"/>
      <c r="T17" s="14"/>
      <c r="U17" s="14"/>
      <c r="V17" s="14"/>
      <c r="W17" s="14"/>
      <c r="X17" s="13"/>
      <c r="Y17" s="13"/>
      <c r="Z17" s="15"/>
      <c r="AA17" s="13"/>
      <c r="AB17" s="13"/>
      <c r="AC17" s="13"/>
      <c r="AD17" s="14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5"/>
      <c r="AP17" s="15"/>
      <c r="AQ17" s="13"/>
      <c r="AR17" s="15"/>
      <c r="AS17" s="15"/>
      <c r="AT17" s="13"/>
      <c r="AU17" s="13"/>
      <c r="AV17" s="13"/>
      <c r="AW17" s="13"/>
      <c r="AX17" s="13"/>
      <c r="AY17" s="13"/>
    </row>
    <row r="18" spans="1:51" x14ac:dyDescent="0.2">
      <c r="A18" s="13"/>
      <c r="B18" s="14"/>
      <c r="C18" s="13"/>
      <c r="D18" s="13"/>
      <c r="E18" s="14"/>
      <c r="F18" s="13"/>
      <c r="G18" s="14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13"/>
      <c r="S18" s="14"/>
      <c r="T18" s="14"/>
      <c r="U18" s="14"/>
      <c r="V18" s="14"/>
      <c r="W18" s="14"/>
      <c r="X18" s="13"/>
      <c r="Y18" s="13"/>
      <c r="Z18" s="15"/>
      <c r="AA18" s="13"/>
      <c r="AB18" s="13"/>
      <c r="AC18" s="13"/>
      <c r="AD18" s="14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5"/>
      <c r="AP18" s="15"/>
      <c r="AQ18" s="13"/>
      <c r="AR18" s="15"/>
      <c r="AS18" s="15"/>
      <c r="AT18" s="13"/>
      <c r="AU18" s="13"/>
      <c r="AV18" s="13"/>
      <c r="AW18" s="13"/>
      <c r="AX18" s="13"/>
      <c r="AY18" s="13"/>
    </row>
    <row r="19" spans="1:51" x14ac:dyDescent="0.2">
      <c r="A19" s="13"/>
      <c r="B19" s="14"/>
      <c r="C19" s="13"/>
      <c r="D19" s="13"/>
      <c r="E19" s="14"/>
      <c r="F19" s="13"/>
      <c r="G19" s="14"/>
      <c r="H19" s="13"/>
      <c r="I19" s="13"/>
      <c r="J19" s="13"/>
      <c r="K19" s="13"/>
      <c r="L19" s="13"/>
      <c r="M19" s="13"/>
      <c r="N19" s="13"/>
      <c r="O19" s="13"/>
      <c r="P19" s="14"/>
      <c r="Q19" s="13"/>
      <c r="R19" s="13"/>
      <c r="S19" s="14"/>
      <c r="T19" s="14"/>
      <c r="U19" s="14"/>
      <c r="V19" s="14"/>
      <c r="W19" s="14"/>
      <c r="X19" s="13"/>
      <c r="Y19" s="13"/>
      <c r="Z19" s="15"/>
      <c r="AA19" s="13"/>
      <c r="AB19" s="13"/>
      <c r="AC19" s="13"/>
      <c r="AD19" s="14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5"/>
      <c r="AP19" s="15"/>
      <c r="AQ19" s="13"/>
      <c r="AR19" s="15"/>
      <c r="AS19" s="15"/>
      <c r="AT19" s="13"/>
      <c r="AU19" s="13"/>
      <c r="AV19" s="13"/>
      <c r="AW19" s="13"/>
      <c r="AX19" s="13"/>
      <c r="AY19" s="13"/>
    </row>
    <row r="20" spans="1:51" x14ac:dyDescent="0.2">
      <c r="A20" s="13"/>
      <c r="B20" s="14"/>
      <c r="C20" s="13"/>
      <c r="D20" s="13"/>
      <c r="E20" s="14"/>
      <c r="F20" s="13"/>
      <c r="G20" s="14"/>
      <c r="H20" s="13"/>
      <c r="I20" s="13"/>
      <c r="J20" s="13"/>
      <c r="K20" s="13"/>
      <c r="L20" s="13"/>
      <c r="M20" s="13"/>
      <c r="N20" s="13"/>
      <c r="O20" s="13"/>
      <c r="P20" s="14"/>
      <c r="Q20" s="13"/>
      <c r="R20" s="13"/>
      <c r="S20" s="14"/>
      <c r="T20" s="14"/>
      <c r="U20" s="14"/>
      <c r="V20" s="14"/>
      <c r="W20" s="14"/>
      <c r="X20" s="13"/>
      <c r="Y20" s="13"/>
      <c r="Z20" s="15"/>
      <c r="AA20" s="13"/>
      <c r="AB20" s="13"/>
      <c r="AC20" s="13"/>
      <c r="AD20" s="14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5"/>
      <c r="AP20" s="15"/>
      <c r="AQ20" s="13"/>
      <c r="AR20" s="15"/>
      <c r="AS20" s="15"/>
      <c r="AT20" s="13"/>
      <c r="AU20" s="13"/>
      <c r="AV20" s="13"/>
      <c r="AW20" s="13"/>
      <c r="AX20" s="13"/>
      <c r="AY20" s="15"/>
    </row>
    <row r="21" spans="1:51" x14ac:dyDescent="0.2">
      <c r="A21" s="13"/>
      <c r="B21" s="14"/>
      <c r="C21" s="13"/>
      <c r="D21" s="13"/>
      <c r="E21" s="14"/>
      <c r="F21" s="13"/>
      <c r="G21" s="14"/>
      <c r="H21" s="13"/>
      <c r="I21" s="13"/>
      <c r="J21" s="13"/>
      <c r="K21" s="13"/>
      <c r="L21" s="13"/>
      <c r="M21" s="13"/>
      <c r="N21" s="13"/>
      <c r="O21" s="13"/>
      <c r="P21" s="14"/>
      <c r="Q21" s="13"/>
      <c r="R21" s="13"/>
      <c r="S21" s="14"/>
      <c r="T21" s="14"/>
      <c r="U21" s="14"/>
      <c r="V21" s="14"/>
      <c r="W21" s="14"/>
      <c r="X21" s="13"/>
      <c r="Y21" s="13"/>
      <c r="Z21" s="15"/>
      <c r="AA21" s="13"/>
      <c r="AB21" s="13"/>
      <c r="AC21" s="13"/>
      <c r="AD21" s="14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5"/>
      <c r="AP21" s="15"/>
      <c r="AQ21" s="13"/>
      <c r="AR21" s="15"/>
      <c r="AS21" s="15"/>
      <c r="AT21" s="13"/>
      <c r="AU21" s="13"/>
      <c r="AV21" s="13"/>
      <c r="AW21" s="13"/>
      <c r="AX21" s="13"/>
      <c r="AY21" s="13"/>
    </row>
    <row r="22" spans="1:51" x14ac:dyDescent="0.2">
      <c r="A22" s="13"/>
      <c r="B22" s="14"/>
      <c r="C22" s="13"/>
      <c r="D22" s="13"/>
      <c r="E22" s="14"/>
      <c r="F22" s="13"/>
      <c r="G22" s="14"/>
      <c r="H22" s="13"/>
      <c r="I22" s="13"/>
      <c r="J22" s="13"/>
      <c r="K22" s="13"/>
      <c r="L22" s="13"/>
      <c r="M22" s="13"/>
      <c r="N22" s="13"/>
      <c r="O22" s="13"/>
      <c r="P22" s="14"/>
      <c r="Q22" s="13"/>
      <c r="R22" s="13"/>
      <c r="S22" s="14"/>
      <c r="T22" s="14"/>
      <c r="U22" s="14"/>
      <c r="V22" s="14"/>
      <c r="W22" s="14"/>
      <c r="X22" s="13"/>
      <c r="Y22" s="13"/>
      <c r="Z22" s="15"/>
      <c r="AA22" s="13"/>
      <c r="AB22" s="13"/>
      <c r="AC22" s="13"/>
      <c r="AD22" s="14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5"/>
      <c r="AP22" s="15"/>
      <c r="AQ22" s="13"/>
      <c r="AR22" s="15"/>
      <c r="AS22" s="15"/>
      <c r="AT22" s="13"/>
      <c r="AU22" s="13"/>
      <c r="AV22" s="13"/>
      <c r="AW22" s="13"/>
      <c r="AX22" s="13"/>
      <c r="AY22" s="15"/>
    </row>
    <row r="23" spans="1:51" x14ac:dyDescent="0.2">
      <c r="A23" s="13"/>
      <c r="B23" s="14"/>
      <c r="C23" s="13"/>
      <c r="D23" s="13"/>
      <c r="E23" s="14"/>
      <c r="F23" s="13"/>
      <c r="G23" s="14"/>
      <c r="H23" s="13"/>
      <c r="I23" s="13"/>
      <c r="J23" s="13"/>
      <c r="K23" s="13"/>
      <c r="L23" s="13"/>
      <c r="M23" s="13"/>
      <c r="N23" s="13"/>
      <c r="O23" s="13"/>
      <c r="P23" s="14"/>
      <c r="Q23" s="13"/>
      <c r="R23" s="13"/>
      <c r="S23" s="14"/>
      <c r="T23" s="14"/>
      <c r="U23" s="14"/>
      <c r="V23" s="14"/>
      <c r="W23" s="14"/>
      <c r="X23" s="13"/>
      <c r="Y23" s="13"/>
      <c r="Z23" s="15"/>
      <c r="AA23" s="13"/>
      <c r="AB23" s="13"/>
      <c r="AC23" s="13"/>
      <c r="AD23" s="14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5"/>
      <c r="AP23" s="15"/>
      <c r="AQ23" s="13"/>
      <c r="AR23" s="15"/>
      <c r="AS23" s="15"/>
      <c r="AT23" s="13"/>
      <c r="AU23" s="13"/>
      <c r="AV23" s="13"/>
      <c r="AW23" s="13"/>
      <c r="AX23" s="13"/>
      <c r="AY23" s="13"/>
    </row>
    <row r="24" spans="1:51" x14ac:dyDescent="0.2">
      <c r="A24" s="13"/>
      <c r="B24" s="14"/>
      <c r="C24" s="13"/>
      <c r="D24" s="13"/>
      <c r="E24" s="14"/>
      <c r="F24" s="13"/>
      <c r="G24" s="14"/>
      <c r="H24" s="13"/>
      <c r="I24" s="13"/>
      <c r="J24" s="13"/>
      <c r="K24" s="13"/>
      <c r="L24" s="13"/>
      <c r="M24" s="13"/>
      <c r="N24" s="13"/>
      <c r="O24" s="13"/>
      <c r="P24" s="14"/>
      <c r="Q24" s="13"/>
      <c r="R24" s="13"/>
      <c r="S24" s="14"/>
      <c r="T24" s="14"/>
      <c r="U24" s="14"/>
      <c r="V24" s="14"/>
      <c r="W24" s="14"/>
      <c r="X24" s="13"/>
      <c r="Y24" s="13"/>
      <c r="Z24" s="15"/>
      <c r="AA24" s="13"/>
      <c r="AB24" s="13"/>
      <c r="AC24" s="13"/>
      <c r="AD24" s="14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5"/>
      <c r="AP24" s="15"/>
      <c r="AQ24" s="13"/>
      <c r="AR24" s="15"/>
      <c r="AS24" s="15"/>
      <c r="AT24" s="13"/>
      <c r="AU24" s="13"/>
      <c r="AV24" s="13"/>
      <c r="AW24" s="13"/>
      <c r="AX24" s="13"/>
      <c r="AY24" s="15"/>
    </row>
    <row r="25" spans="1:51" x14ac:dyDescent="0.2">
      <c r="A25" s="13"/>
      <c r="B25" s="14"/>
      <c r="C25" s="13"/>
      <c r="D25" s="13"/>
      <c r="E25" s="14"/>
      <c r="F25" s="13"/>
      <c r="G25" s="14"/>
      <c r="H25" s="13"/>
      <c r="I25" s="13"/>
      <c r="J25" s="13"/>
      <c r="K25" s="13"/>
      <c r="L25" s="13"/>
      <c r="M25" s="13"/>
      <c r="N25" s="13"/>
      <c r="O25" s="13"/>
      <c r="P25" s="14"/>
      <c r="Q25" s="13"/>
      <c r="R25" s="13"/>
      <c r="S25" s="14"/>
      <c r="T25" s="14"/>
      <c r="U25" s="14"/>
      <c r="V25" s="14"/>
      <c r="W25" s="14"/>
      <c r="X25" s="13"/>
      <c r="Y25" s="13"/>
      <c r="Z25" s="15"/>
      <c r="AA25" s="13"/>
      <c r="AB25" s="13"/>
      <c r="AC25" s="13"/>
      <c r="AD25" s="14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5"/>
      <c r="AP25" s="15"/>
      <c r="AQ25" s="13"/>
      <c r="AR25" s="15"/>
      <c r="AS25" s="15"/>
      <c r="AT25" s="13"/>
      <c r="AU25" s="13"/>
      <c r="AV25" s="13"/>
      <c r="AW25" s="13"/>
      <c r="AX25" s="13"/>
      <c r="AY25" s="13"/>
    </row>
    <row r="26" spans="1:51" x14ac:dyDescent="0.2">
      <c r="A26" s="13"/>
      <c r="B26" s="14"/>
      <c r="C26" s="13"/>
      <c r="D26" s="13"/>
      <c r="E26" s="14"/>
      <c r="F26" s="13"/>
      <c r="G26" s="14"/>
      <c r="H26" s="13"/>
      <c r="I26" s="13"/>
      <c r="J26" s="13"/>
      <c r="K26" s="13"/>
      <c r="L26" s="13"/>
      <c r="M26" s="13"/>
      <c r="N26" s="13"/>
      <c r="O26" s="13"/>
      <c r="P26" s="14"/>
      <c r="Q26" s="13"/>
      <c r="R26" s="13"/>
      <c r="S26" s="14"/>
      <c r="T26" s="14"/>
      <c r="U26" s="14"/>
      <c r="V26" s="14"/>
      <c r="W26" s="14"/>
      <c r="X26" s="13"/>
      <c r="Y26" s="13"/>
      <c r="Z26" s="15"/>
      <c r="AA26" s="13"/>
      <c r="AB26" s="13"/>
      <c r="AC26" s="13"/>
      <c r="AD26" s="14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5"/>
      <c r="AP26" s="15"/>
      <c r="AQ26" s="13"/>
      <c r="AR26" s="15"/>
      <c r="AS26" s="15"/>
      <c r="AT26" s="13"/>
      <c r="AU26" s="13"/>
      <c r="AV26" s="13"/>
      <c r="AW26" s="13"/>
      <c r="AX26" s="13"/>
      <c r="AY26" s="13"/>
    </row>
    <row r="27" spans="1:51" x14ac:dyDescent="0.2">
      <c r="A27" s="13"/>
      <c r="B27" s="14"/>
      <c r="C27" s="13"/>
      <c r="D27" s="13"/>
      <c r="E27" s="14"/>
      <c r="F27" s="13"/>
      <c r="G27" s="14"/>
      <c r="H27" s="13"/>
      <c r="I27" s="13"/>
      <c r="J27" s="13"/>
      <c r="K27" s="13"/>
      <c r="L27" s="13"/>
      <c r="M27" s="13"/>
      <c r="N27" s="13"/>
      <c r="O27" s="13"/>
      <c r="P27" s="14"/>
      <c r="Q27" s="13"/>
      <c r="R27" s="13"/>
      <c r="S27" s="14"/>
      <c r="T27" s="14"/>
      <c r="U27" s="14"/>
      <c r="V27" s="14"/>
      <c r="W27" s="14"/>
      <c r="X27" s="13"/>
      <c r="Y27" s="13"/>
      <c r="Z27" s="15"/>
      <c r="AA27" s="13"/>
      <c r="AB27" s="13"/>
      <c r="AC27" s="13"/>
      <c r="AD27" s="14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5"/>
      <c r="AP27" s="15"/>
      <c r="AQ27" s="13"/>
      <c r="AR27" s="15"/>
      <c r="AS27" s="15"/>
      <c r="AT27" s="13"/>
      <c r="AU27" s="13"/>
      <c r="AV27" s="13"/>
      <c r="AW27" s="13"/>
      <c r="AX27" s="13"/>
      <c r="AY27" s="13"/>
    </row>
    <row r="28" spans="1:51" x14ac:dyDescent="0.2">
      <c r="A28" s="13"/>
      <c r="B28" s="14"/>
      <c r="C28" s="13"/>
      <c r="D28" s="13"/>
      <c r="E28" s="14"/>
      <c r="F28" s="13"/>
      <c r="G28" s="14"/>
      <c r="H28" s="13"/>
      <c r="I28" s="13"/>
      <c r="J28" s="13"/>
      <c r="K28" s="13"/>
      <c r="L28" s="13"/>
      <c r="M28" s="13"/>
      <c r="N28" s="13"/>
      <c r="O28" s="13"/>
      <c r="P28" s="14"/>
      <c r="Q28" s="13"/>
      <c r="R28" s="13"/>
      <c r="S28" s="14"/>
      <c r="T28" s="14"/>
      <c r="U28" s="14"/>
      <c r="V28" s="14"/>
      <c r="W28" s="14"/>
      <c r="X28" s="13"/>
      <c r="Y28" s="13"/>
      <c r="Z28" s="15"/>
      <c r="AA28" s="13"/>
      <c r="AB28" s="13"/>
      <c r="AC28" s="13"/>
      <c r="AD28" s="14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5"/>
      <c r="AP28" s="15"/>
      <c r="AQ28" s="13"/>
      <c r="AR28" s="15"/>
      <c r="AS28" s="15"/>
      <c r="AT28" s="13"/>
      <c r="AU28" s="13"/>
      <c r="AV28" s="13"/>
      <c r="AW28" s="13"/>
      <c r="AX28" s="13"/>
      <c r="AY28" s="15"/>
    </row>
    <row r="29" spans="1:51" x14ac:dyDescent="0.2">
      <c r="A29" s="13"/>
      <c r="B29" s="14"/>
      <c r="C29" s="13"/>
      <c r="D29" s="13"/>
      <c r="E29" s="14"/>
      <c r="F29" s="13"/>
      <c r="G29" s="14"/>
      <c r="H29" s="13"/>
      <c r="I29" s="13"/>
      <c r="J29" s="13"/>
      <c r="K29" s="13"/>
      <c r="L29" s="13"/>
      <c r="M29" s="13"/>
      <c r="N29" s="13"/>
      <c r="O29" s="13"/>
      <c r="P29" s="14"/>
      <c r="Q29" s="13"/>
      <c r="R29" s="13"/>
      <c r="S29" s="14"/>
      <c r="T29" s="14"/>
      <c r="U29" s="14"/>
      <c r="V29" s="14"/>
      <c r="W29" s="14"/>
      <c r="X29" s="13"/>
      <c r="Y29" s="13"/>
      <c r="Z29" s="15"/>
      <c r="AA29" s="13"/>
      <c r="AB29" s="13"/>
      <c r="AC29" s="13"/>
      <c r="AD29" s="14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5"/>
      <c r="AP29" s="15"/>
      <c r="AQ29" s="13"/>
      <c r="AR29" s="15"/>
      <c r="AS29" s="15"/>
      <c r="AT29" s="13"/>
      <c r="AU29" s="13"/>
      <c r="AV29" s="13"/>
      <c r="AW29" s="13"/>
      <c r="AX29" s="13"/>
      <c r="AY29" s="13"/>
    </row>
    <row r="30" spans="1:51" x14ac:dyDescent="0.2">
      <c r="A30" s="13"/>
      <c r="B30" s="14"/>
      <c r="C30" s="13"/>
      <c r="D30" s="13"/>
      <c r="E30" s="14"/>
      <c r="F30" s="13"/>
      <c r="G30" s="14"/>
      <c r="H30" s="13"/>
      <c r="I30" s="13"/>
      <c r="J30" s="13"/>
      <c r="K30" s="13"/>
      <c r="L30" s="13"/>
      <c r="M30" s="13"/>
      <c r="N30" s="13"/>
      <c r="O30" s="13"/>
      <c r="P30" s="14"/>
      <c r="Q30" s="13"/>
      <c r="R30" s="13"/>
      <c r="S30" s="14"/>
      <c r="T30" s="14"/>
      <c r="U30" s="14"/>
      <c r="V30" s="14"/>
      <c r="W30" s="14"/>
      <c r="X30" s="13"/>
      <c r="Y30" s="13"/>
      <c r="Z30" s="15"/>
      <c r="AA30" s="13"/>
      <c r="AB30" s="13"/>
      <c r="AC30" s="13"/>
      <c r="AD30" s="14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5"/>
      <c r="AP30" s="13"/>
      <c r="AQ30" s="13"/>
      <c r="AR30" s="15"/>
      <c r="AS30" s="15"/>
      <c r="AT30" s="13"/>
      <c r="AU30" s="13"/>
      <c r="AV30" s="13"/>
      <c r="AW30" s="13"/>
      <c r="AX30" s="13"/>
      <c r="AY30" s="15"/>
    </row>
    <row r="31" spans="1:51" x14ac:dyDescent="0.2">
      <c r="A31" s="13"/>
      <c r="B31" s="14"/>
      <c r="C31" s="13"/>
      <c r="D31" s="13"/>
      <c r="E31" s="14"/>
      <c r="F31" s="13"/>
      <c r="G31" s="14"/>
      <c r="H31" s="13"/>
      <c r="I31" s="13"/>
      <c r="J31" s="13"/>
      <c r="K31" s="13"/>
      <c r="L31" s="13"/>
      <c r="M31" s="13"/>
      <c r="N31" s="13"/>
      <c r="O31" s="13"/>
      <c r="P31" s="14"/>
      <c r="Q31" s="13"/>
      <c r="R31" s="13"/>
      <c r="S31" s="14"/>
      <c r="T31" s="14"/>
      <c r="U31" s="14"/>
      <c r="V31" s="14"/>
      <c r="W31" s="14"/>
      <c r="X31" s="13"/>
      <c r="Y31" s="13"/>
      <c r="Z31" s="15"/>
      <c r="AA31" s="13"/>
      <c r="AB31" s="13"/>
      <c r="AC31" s="13"/>
      <c r="AD31" s="14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5"/>
      <c r="AP31" s="13"/>
      <c r="AQ31" s="13"/>
      <c r="AR31" s="15"/>
      <c r="AS31" s="15"/>
      <c r="AT31" s="13"/>
      <c r="AU31" s="13"/>
      <c r="AV31" s="13"/>
      <c r="AW31" s="13"/>
      <c r="AX31" s="13"/>
      <c r="AY31" s="13"/>
    </row>
    <row r="32" spans="1:51" x14ac:dyDescent="0.2">
      <c r="A32" s="13"/>
      <c r="B32" s="14"/>
      <c r="C32" s="13"/>
      <c r="D32" s="13"/>
      <c r="E32" s="14"/>
      <c r="F32" s="13"/>
      <c r="G32" s="14"/>
      <c r="H32" s="13"/>
      <c r="I32" s="13"/>
      <c r="J32" s="13"/>
      <c r="K32" s="13"/>
      <c r="L32" s="13"/>
      <c r="M32" s="13"/>
      <c r="N32" s="13"/>
      <c r="O32" s="13"/>
      <c r="P32" s="14"/>
      <c r="Q32" s="13"/>
      <c r="R32" s="13"/>
      <c r="S32" s="14"/>
      <c r="T32" s="14"/>
      <c r="U32" s="14"/>
      <c r="V32" s="14"/>
      <c r="W32" s="14"/>
      <c r="X32" s="13"/>
      <c r="Y32" s="13"/>
      <c r="Z32" s="15"/>
      <c r="AA32" s="13"/>
      <c r="AB32" s="13"/>
      <c r="AC32" s="13"/>
      <c r="AD32" s="14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5"/>
      <c r="AP32" s="15"/>
      <c r="AQ32" s="13"/>
      <c r="AR32" s="15"/>
      <c r="AS32" s="15"/>
      <c r="AT32" s="13"/>
      <c r="AU32" s="13"/>
      <c r="AV32" s="13"/>
      <c r="AW32" s="13"/>
      <c r="AX32" s="13"/>
      <c r="AY32" s="13"/>
    </row>
    <row r="33" spans="1:51" x14ac:dyDescent="0.2">
      <c r="A33" s="13"/>
      <c r="B33" s="14"/>
      <c r="C33" s="13"/>
      <c r="D33" s="13"/>
      <c r="E33" s="14"/>
      <c r="F33" s="13"/>
      <c r="G33" s="14"/>
      <c r="H33" s="13"/>
      <c r="I33" s="13"/>
      <c r="J33" s="13"/>
      <c r="K33" s="13"/>
      <c r="L33" s="13"/>
      <c r="M33" s="13"/>
      <c r="N33" s="13"/>
      <c r="O33" s="13"/>
      <c r="P33" s="14"/>
      <c r="Q33" s="13"/>
      <c r="R33" s="13"/>
      <c r="S33" s="14"/>
      <c r="T33" s="14"/>
      <c r="U33" s="14"/>
      <c r="V33" s="14"/>
      <c r="W33" s="14"/>
      <c r="X33" s="13"/>
      <c r="Y33" s="13"/>
      <c r="Z33" s="15"/>
      <c r="AA33" s="13"/>
      <c r="AB33" s="13"/>
      <c r="AC33" s="13"/>
      <c r="AD33" s="14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5"/>
      <c r="AP33" s="15"/>
      <c r="AQ33" s="13"/>
      <c r="AR33" s="15"/>
      <c r="AS33" s="15"/>
      <c r="AT33" s="13"/>
      <c r="AU33" s="13"/>
      <c r="AV33" s="13"/>
      <c r="AW33" s="13"/>
      <c r="AX33" s="13"/>
      <c r="AY33" s="15"/>
    </row>
    <row r="34" spans="1:51" x14ac:dyDescent="0.2">
      <c r="A34" s="13"/>
      <c r="B34" s="14"/>
      <c r="C34" s="13"/>
      <c r="D34" s="13"/>
      <c r="E34" s="14"/>
      <c r="F34" s="13"/>
      <c r="G34" s="14"/>
      <c r="H34" s="13"/>
      <c r="I34" s="13"/>
      <c r="J34" s="13"/>
      <c r="K34" s="13"/>
      <c r="L34" s="13"/>
      <c r="M34" s="13"/>
      <c r="N34" s="13"/>
      <c r="O34" s="13"/>
      <c r="P34" s="14"/>
      <c r="Q34" s="13"/>
      <c r="R34" s="13"/>
      <c r="S34" s="14"/>
      <c r="T34" s="14"/>
      <c r="U34" s="14"/>
      <c r="V34" s="14"/>
      <c r="W34" s="14"/>
      <c r="X34" s="13"/>
      <c r="Y34" s="13"/>
      <c r="Z34" s="15"/>
      <c r="AA34" s="13"/>
      <c r="AB34" s="13"/>
      <c r="AC34" s="13"/>
      <c r="AD34" s="14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5"/>
      <c r="AP34" s="15"/>
      <c r="AQ34" s="13"/>
      <c r="AR34" s="15"/>
      <c r="AS34" s="15"/>
      <c r="AT34" s="13"/>
      <c r="AU34" s="13"/>
      <c r="AV34" s="13"/>
      <c r="AW34" s="13"/>
      <c r="AX34" s="13"/>
      <c r="AY34" s="13"/>
    </row>
    <row r="35" spans="1:51" x14ac:dyDescent="0.2">
      <c r="A35" s="13"/>
      <c r="B35" s="14"/>
      <c r="C35" s="13"/>
      <c r="D35" s="13"/>
      <c r="E35" s="14"/>
      <c r="F35" s="13"/>
      <c r="G35" s="14"/>
      <c r="H35" s="13"/>
      <c r="I35" s="13"/>
      <c r="J35" s="13"/>
      <c r="K35" s="13"/>
      <c r="L35" s="13"/>
      <c r="M35" s="13"/>
      <c r="N35" s="13"/>
      <c r="O35" s="13"/>
      <c r="P35" s="14"/>
      <c r="Q35" s="13"/>
      <c r="R35" s="13"/>
      <c r="S35" s="14"/>
      <c r="T35" s="14"/>
      <c r="U35" s="14"/>
      <c r="V35" s="14"/>
      <c r="W35" s="14"/>
      <c r="X35" s="13"/>
      <c r="Y35" s="13"/>
      <c r="Z35" s="15"/>
      <c r="AA35" s="13"/>
      <c r="AB35" s="13"/>
      <c r="AC35" s="13"/>
      <c r="AD35" s="14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5"/>
      <c r="AP35" s="15"/>
      <c r="AQ35" s="13"/>
      <c r="AR35" s="15"/>
      <c r="AS35" s="15"/>
      <c r="AT35" s="13"/>
      <c r="AU35" s="13"/>
      <c r="AV35" s="13"/>
      <c r="AW35" s="13"/>
      <c r="AX35" s="13"/>
      <c r="AY35" s="13"/>
    </row>
    <row r="36" spans="1:51" x14ac:dyDescent="0.2">
      <c r="A36" s="13"/>
      <c r="B36" s="14"/>
      <c r="C36" s="13"/>
      <c r="D36" s="13"/>
      <c r="E36" s="14"/>
      <c r="F36" s="13"/>
      <c r="G36" s="14"/>
      <c r="H36" s="13"/>
      <c r="I36" s="13"/>
      <c r="J36" s="13"/>
      <c r="K36" s="13"/>
      <c r="L36" s="13"/>
      <c r="M36" s="13"/>
      <c r="N36" s="13"/>
      <c r="O36" s="13"/>
      <c r="P36" s="14"/>
      <c r="Q36" s="13"/>
      <c r="R36" s="13"/>
      <c r="S36" s="14"/>
      <c r="T36" s="14"/>
      <c r="U36" s="14"/>
      <c r="V36" s="14"/>
      <c r="W36" s="14"/>
      <c r="X36" s="13"/>
      <c r="Y36" s="13"/>
      <c r="Z36" s="15"/>
      <c r="AA36" s="13"/>
      <c r="AB36" s="13"/>
      <c r="AC36" s="13"/>
      <c r="AD36" s="14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5"/>
      <c r="AP36" s="15"/>
      <c r="AQ36" s="13"/>
      <c r="AR36" s="15"/>
      <c r="AS36" s="15"/>
      <c r="AT36" s="13"/>
      <c r="AU36" s="13"/>
      <c r="AV36" s="13"/>
      <c r="AW36" s="13"/>
      <c r="AX36" s="13"/>
      <c r="AY36" s="15"/>
    </row>
    <row r="37" spans="1:51" x14ac:dyDescent="0.2">
      <c r="A37" s="13"/>
      <c r="B37" s="14"/>
      <c r="C37" s="13"/>
      <c r="D37" s="13"/>
      <c r="E37" s="14"/>
      <c r="F37" s="13"/>
      <c r="G37" s="14"/>
      <c r="H37" s="13"/>
      <c r="I37" s="13"/>
      <c r="J37" s="13"/>
      <c r="K37" s="13"/>
      <c r="L37" s="13"/>
      <c r="M37" s="13"/>
      <c r="N37" s="13"/>
      <c r="O37" s="13"/>
      <c r="P37" s="14"/>
      <c r="Q37" s="13"/>
      <c r="R37" s="13"/>
      <c r="S37" s="14"/>
      <c r="T37" s="14"/>
      <c r="U37" s="14"/>
      <c r="V37" s="14"/>
      <c r="W37" s="14"/>
      <c r="X37" s="13"/>
      <c r="Y37" s="13"/>
      <c r="Z37" s="15"/>
      <c r="AA37" s="13"/>
      <c r="AB37" s="13"/>
      <c r="AC37" s="13"/>
      <c r="AD37" s="14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5"/>
      <c r="AP37" s="15"/>
      <c r="AQ37" s="13"/>
      <c r="AR37" s="15"/>
      <c r="AS37" s="15"/>
      <c r="AT37" s="13"/>
      <c r="AU37" s="13"/>
      <c r="AV37" s="13"/>
      <c r="AW37" s="13"/>
      <c r="AX37" s="13"/>
      <c r="AY37" s="15"/>
    </row>
    <row r="38" spans="1:51" x14ac:dyDescent="0.2">
      <c r="A38" s="13"/>
      <c r="B38" s="14"/>
      <c r="C38" s="13"/>
      <c r="D38" s="13"/>
      <c r="E38" s="14"/>
      <c r="F38" s="13"/>
      <c r="G38" s="14"/>
      <c r="H38" s="13"/>
      <c r="I38" s="13"/>
      <c r="J38" s="13"/>
      <c r="K38" s="13"/>
      <c r="L38" s="13"/>
      <c r="M38" s="13"/>
      <c r="N38" s="13"/>
      <c r="O38" s="13"/>
      <c r="P38" s="14"/>
      <c r="Q38" s="13"/>
      <c r="R38" s="13"/>
      <c r="S38" s="14"/>
      <c r="T38" s="14"/>
      <c r="U38" s="14"/>
      <c r="V38" s="14"/>
      <c r="W38" s="14"/>
      <c r="X38" s="13"/>
      <c r="Y38" s="13"/>
      <c r="Z38" s="15"/>
      <c r="AA38" s="13"/>
      <c r="AB38" s="13"/>
      <c r="AC38" s="13"/>
      <c r="AD38" s="14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5"/>
      <c r="AP38" s="15"/>
      <c r="AQ38" s="13"/>
      <c r="AR38" s="15"/>
      <c r="AS38" s="15"/>
      <c r="AT38" s="13"/>
      <c r="AU38" s="13"/>
      <c r="AV38" s="13"/>
      <c r="AW38" s="13"/>
      <c r="AX38" s="13"/>
      <c r="AY38" s="15"/>
    </row>
    <row r="39" spans="1:51" x14ac:dyDescent="0.2">
      <c r="A39" s="13"/>
      <c r="B39" s="14"/>
      <c r="C39" s="13"/>
      <c r="D39" s="13"/>
      <c r="E39" s="14"/>
      <c r="F39" s="13"/>
      <c r="G39" s="14"/>
      <c r="H39" s="13"/>
      <c r="I39" s="13"/>
      <c r="J39" s="13"/>
      <c r="K39" s="13"/>
      <c r="L39" s="13"/>
      <c r="M39" s="13"/>
      <c r="N39" s="13"/>
      <c r="O39" s="13"/>
      <c r="P39" s="14"/>
      <c r="Q39" s="13"/>
      <c r="R39" s="13"/>
      <c r="S39" s="14"/>
      <c r="T39" s="14"/>
      <c r="U39" s="14"/>
      <c r="V39" s="14"/>
      <c r="W39" s="14"/>
      <c r="X39" s="13"/>
      <c r="Y39" s="13"/>
      <c r="Z39" s="15"/>
      <c r="AA39" s="13"/>
      <c r="AB39" s="13"/>
      <c r="AC39" s="13"/>
      <c r="AD39" s="14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5"/>
      <c r="AP39" s="15"/>
      <c r="AQ39" s="13"/>
      <c r="AR39" s="15"/>
      <c r="AS39" s="15"/>
      <c r="AT39" s="13"/>
      <c r="AU39" s="13"/>
      <c r="AV39" s="13"/>
      <c r="AW39" s="13"/>
      <c r="AX39" s="13"/>
      <c r="AY39" s="15"/>
    </row>
    <row r="40" spans="1:51" x14ac:dyDescent="0.2">
      <c r="A40" s="13"/>
      <c r="B40" s="14"/>
      <c r="C40" s="13"/>
      <c r="D40" s="13"/>
      <c r="E40" s="14"/>
      <c r="F40" s="13"/>
      <c r="G40" s="14"/>
      <c r="H40" s="13"/>
      <c r="I40" s="13"/>
      <c r="J40" s="13"/>
      <c r="K40" s="13"/>
      <c r="L40" s="13"/>
      <c r="M40" s="13"/>
      <c r="N40" s="13"/>
      <c r="O40" s="13"/>
      <c r="P40" s="14"/>
      <c r="Q40" s="13"/>
      <c r="R40" s="13"/>
      <c r="S40" s="14"/>
      <c r="T40" s="14"/>
      <c r="U40" s="14"/>
      <c r="V40" s="14"/>
      <c r="W40" s="14"/>
      <c r="X40" s="13"/>
      <c r="Y40" s="13"/>
      <c r="Z40" s="15"/>
      <c r="AA40" s="13"/>
      <c r="AB40" s="13"/>
      <c r="AC40" s="13"/>
      <c r="AD40" s="14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5"/>
      <c r="AP40" s="15"/>
      <c r="AQ40" s="13"/>
      <c r="AR40" s="15"/>
      <c r="AS40" s="15"/>
      <c r="AT40" s="13"/>
      <c r="AU40" s="13"/>
      <c r="AV40" s="13"/>
      <c r="AW40" s="13"/>
      <c r="AX40" s="13"/>
      <c r="AY40" s="13"/>
    </row>
    <row r="41" spans="1:51" x14ac:dyDescent="0.2">
      <c r="A41" s="13"/>
      <c r="B41" s="14"/>
      <c r="C41" s="13"/>
      <c r="D41" s="13"/>
      <c r="E41" s="14"/>
      <c r="F41" s="13"/>
      <c r="G41" s="14"/>
      <c r="H41" s="13"/>
      <c r="I41" s="13"/>
      <c r="J41" s="13"/>
      <c r="K41" s="13"/>
      <c r="L41" s="13"/>
      <c r="M41" s="13"/>
      <c r="N41" s="13"/>
      <c r="O41" s="13"/>
      <c r="P41" s="14"/>
      <c r="Q41" s="13"/>
      <c r="R41" s="13"/>
      <c r="S41" s="14"/>
      <c r="T41" s="14"/>
      <c r="U41" s="14"/>
      <c r="V41" s="14"/>
      <c r="W41" s="14"/>
      <c r="X41" s="13"/>
      <c r="Y41" s="13"/>
      <c r="Z41" s="15"/>
      <c r="AA41" s="13"/>
      <c r="AB41" s="13"/>
      <c r="AC41" s="13"/>
      <c r="AD41" s="14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5"/>
      <c r="AP41" s="15"/>
      <c r="AQ41" s="13"/>
      <c r="AR41" s="15"/>
      <c r="AS41" s="15"/>
      <c r="AT41" s="13"/>
      <c r="AU41" s="13"/>
      <c r="AV41" s="13"/>
      <c r="AW41" s="13"/>
      <c r="AX41" s="13"/>
      <c r="AY41" s="13"/>
    </row>
    <row r="42" spans="1:51" x14ac:dyDescent="0.2">
      <c r="A42" s="13"/>
      <c r="B42" s="14"/>
      <c r="C42" s="13"/>
      <c r="D42" s="13"/>
      <c r="E42" s="14"/>
      <c r="F42" s="13"/>
      <c r="G42" s="14"/>
      <c r="H42" s="13"/>
      <c r="I42" s="13"/>
      <c r="J42" s="13"/>
      <c r="K42" s="13"/>
      <c r="L42" s="13"/>
      <c r="M42" s="13"/>
      <c r="N42" s="13"/>
      <c r="O42" s="13"/>
      <c r="P42" s="14"/>
      <c r="Q42" s="13"/>
      <c r="R42" s="13"/>
      <c r="S42" s="14"/>
      <c r="T42" s="14"/>
      <c r="U42" s="14"/>
      <c r="V42" s="14"/>
      <c r="W42" s="14"/>
      <c r="X42" s="13"/>
      <c r="Y42" s="13"/>
      <c r="Z42" s="15"/>
      <c r="AA42" s="13"/>
      <c r="AB42" s="13"/>
      <c r="AC42" s="13"/>
      <c r="AD42" s="14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5"/>
      <c r="AP42" s="15"/>
      <c r="AQ42" s="13"/>
      <c r="AR42" s="15"/>
      <c r="AS42" s="15"/>
      <c r="AT42" s="13"/>
      <c r="AU42" s="13"/>
      <c r="AV42" s="13"/>
      <c r="AW42" s="13"/>
      <c r="AX42" s="13"/>
      <c r="AY42" s="13"/>
    </row>
    <row r="43" spans="1:51" x14ac:dyDescent="0.2">
      <c r="A43" s="13"/>
      <c r="B43" s="14"/>
      <c r="C43" s="13"/>
      <c r="D43" s="13"/>
      <c r="E43" s="14"/>
      <c r="F43" s="13"/>
      <c r="G43" s="14"/>
      <c r="H43" s="13"/>
      <c r="I43" s="13"/>
      <c r="J43" s="13"/>
      <c r="K43" s="13"/>
      <c r="L43" s="13"/>
      <c r="M43" s="13"/>
      <c r="N43" s="13"/>
      <c r="O43" s="13"/>
      <c r="P43" s="14"/>
      <c r="Q43" s="13"/>
      <c r="R43" s="13"/>
      <c r="S43" s="14"/>
      <c r="T43" s="14"/>
      <c r="U43" s="14"/>
      <c r="V43" s="14"/>
      <c r="W43" s="14"/>
      <c r="X43" s="13"/>
      <c r="Y43" s="13"/>
      <c r="Z43" s="15"/>
      <c r="AA43" s="13"/>
      <c r="AB43" s="13"/>
      <c r="AC43" s="13"/>
      <c r="AD43" s="14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5"/>
      <c r="AP43" s="15"/>
      <c r="AQ43" s="13"/>
      <c r="AR43" s="15"/>
      <c r="AS43" s="15"/>
      <c r="AT43" s="13"/>
      <c r="AU43" s="13"/>
      <c r="AV43" s="13"/>
      <c r="AW43" s="13"/>
      <c r="AX43" s="13"/>
      <c r="AY43" s="13"/>
    </row>
    <row r="44" spans="1:51" x14ac:dyDescent="0.2">
      <c r="A44" s="13"/>
      <c r="B44" s="14"/>
      <c r="C44" s="13"/>
      <c r="D44" s="13"/>
      <c r="E44" s="14"/>
      <c r="F44" s="13"/>
      <c r="G44" s="14"/>
      <c r="H44" s="13"/>
      <c r="I44" s="13"/>
      <c r="J44" s="13"/>
      <c r="K44" s="13"/>
      <c r="L44" s="13"/>
      <c r="M44" s="13"/>
      <c r="N44" s="13"/>
      <c r="O44" s="13"/>
      <c r="P44" s="14"/>
      <c r="Q44" s="13"/>
      <c r="R44" s="13"/>
      <c r="S44" s="14"/>
      <c r="T44" s="14"/>
      <c r="U44" s="14"/>
      <c r="V44" s="14"/>
      <c r="W44" s="14"/>
      <c r="X44" s="13"/>
      <c r="Y44" s="13"/>
      <c r="Z44" s="15"/>
      <c r="AA44" s="13"/>
      <c r="AB44" s="13"/>
      <c r="AC44" s="13"/>
      <c r="AD44" s="14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5"/>
      <c r="AP44" s="15"/>
      <c r="AQ44" s="13"/>
      <c r="AR44" s="15"/>
      <c r="AS44" s="15"/>
      <c r="AT44" s="13"/>
      <c r="AU44" s="13"/>
      <c r="AV44" s="13"/>
      <c r="AW44" s="13"/>
      <c r="AX44" s="13"/>
      <c r="AY44" s="15"/>
    </row>
    <row r="45" spans="1:51" x14ac:dyDescent="0.2">
      <c r="A45" s="13"/>
      <c r="B45" s="14"/>
      <c r="C45" s="13"/>
      <c r="D45" s="13"/>
      <c r="E45" s="14"/>
      <c r="F45" s="13"/>
      <c r="G45" s="14"/>
      <c r="H45" s="13"/>
      <c r="I45" s="13"/>
      <c r="J45" s="13"/>
      <c r="K45" s="13"/>
      <c r="L45" s="13"/>
      <c r="M45" s="13"/>
      <c r="N45" s="13"/>
      <c r="O45" s="13"/>
      <c r="P45" s="14"/>
      <c r="Q45" s="13"/>
      <c r="R45" s="13"/>
      <c r="S45" s="14"/>
      <c r="T45" s="14"/>
      <c r="U45" s="14"/>
      <c r="V45" s="14"/>
      <c r="W45" s="14"/>
      <c r="X45" s="13"/>
      <c r="Y45" s="13"/>
      <c r="Z45" s="15"/>
      <c r="AA45" s="13"/>
      <c r="AB45" s="13"/>
      <c r="AC45" s="13"/>
      <c r="AD45" s="14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5"/>
      <c r="AP45" s="15"/>
      <c r="AQ45" s="13"/>
      <c r="AR45" s="15"/>
      <c r="AS45" s="15"/>
      <c r="AT45" s="13"/>
      <c r="AU45" s="13"/>
      <c r="AV45" s="13"/>
      <c r="AW45" s="13"/>
      <c r="AX45" s="13"/>
      <c r="AY45" s="13"/>
    </row>
    <row r="46" spans="1:51" x14ac:dyDescent="0.2">
      <c r="A46" s="13"/>
      <c r="B46" s="14"/>
      <c r="C46" s="13"/>
      <c r="D46" s="13"/>
      <c r="E46" s="14"/>
      <c r="F46" s="13"/>
      <c r="G46" s="14"/>
      <c r="H46" s="13"/>
      <c r="I46" s="13"/>
      <c r="J46" s="13"/>
      <c r="K46" s="13"/>
      <c r="L46" s="13"/>
      <c r="M46" s="13"/>
      <c r="N46" s="13"/>
      <c r="O46" s="13"/>
      <c r="P46" s="14"/>
      <c r="Q46" s="13"/>
      <c r="R46" s="13"/>
      <c r="S46" s="14"/>
      <c r="T46" s="14"/>
      <c r="U46" s="14"/>
      <c r="V46" s="14"/>
      <c r="W46" s="14"/>
      <c r="X46" s="13"/>
      <c r="Y46" s="13"/>
      <c r="Z46" s="15"/>
      <c r="AA46" s="13"/>
      <c r="AB46" s="13"/>
      <c r="AC46" s="13"/>
      <c r="AD46" s="14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5"/>
      <c r="AP46" s="15"/>
      <c r="AQ46" s="13"/>
      <c r="AR46" s="15"/>
      <c r="AS46" s="15"/>
      <c r="AT46" s="13"/>
      <c r="AU46" s="13"/>
      <c r="AV46" s="13"/>
      <c r="AW46" s="13"/>
      <c r="AX46" s="13"/>
      <c r="AY46" s="13"/>
    </row>
    <row r="47" spans="1:51" x14ac:dyDescent="0.2">
      <c r="A47" s="13"/>
      <c r="B47" s="14"/>
      <c r="C47" s="13"/>
      <c r="D47" s="13"/>
      <c r="E47" s="14"/>
      <c r="F47" s="13"/>
      <c r="G47" s="14"/>
      <c r="H47" s="13"/>
      <c r="I47" s="13"/>
      <c r="J47" s="13"/>
      <c r="K47" s="13"/>
      <c r="L47" s="13"/>
      <c r="M47" s="13"/>
      <c r="N47" s="13"/>
      <c r="O47" s="13"/>
      <c r="P47" s="14"/>
      <c r="Q47" s="13"/>
      <c r="R47" s="13"/>
      <c r="S47" s="14"/>
      <c r="T47" s="14"/>
      <c r="U47" s="14"/>
      <c r="V47" s="14"/>
      <c r="W47" s="14"/>
      <c r="X47" s="13"/>
      <c r="Y47" s="13"/>
      <c r="Z47" s="15"/>
      <c r="AA47" s="13"/>
      <c r="AB47" s="13"/>
      <c r="AC47" s="13"/>
      <c r="AD47" s="14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5"/>
      <c r="AP47" s="15"/>
      <c r="AQ47" s="13"/>
      <c r="AR47" s="15"/>
      <c r="AS47" s="15"/>
      <c r="AT47" s="13"/>
      <c r="AU47" s="13"/>
      <c r="AV47" s="13"/>
      <c r="AW47" s="13"/>
      <c r="AX47" s="13"/>
      <c r="AY47" s="15"/>
    </row>
    <row r="48" spans="1:51" x14ac:dyDescent="0.2">
      <c r="A48" s="13"/>
      <c r="B48" s="14"/>
      <c r="C48" s="13"/>
      <c r="D48" s="13"/>
      <c r="E48" s="14"/>
      <c r="F48" s="13"/>
      <c r="G48" s="14"/>
      <c r="H48" s="13"/>
      <c r="I48" s="13"/>
      <c r="J48" s="13"/>
      <c r="K48" s="13"/>
      <c r="L48" s="13"/>
      <c r="M48" s="13"/>
      <c r="N48" s="13"/>
      <c r="O48" s="13"/>
      <c r="P48" s="14"/>
      <c r="Q48" s="13"/>
      <c r="R48" s="13"/>
      <c r="S48" s="14"/>
      <c r="T48" s="14"/>
      <c r="U48" s="14"/>
      <c r="V48" s="14"/>
      <c r="W48" s="14"/>
      <c r="X48" s="13"/>
      <c r="Y48" s="13"/>
      <c r="Z48" s="15"/>
      <c r="AA48" s="13"/>
      <c r="AB48" s="13"/>
      <c r="AC48" s="13"/>
      <c r="AD48" s="14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5"/>
      <c r="AP48" s="15"/>
      <c r="AQ48" s="13"/>
      <c r="AR48" s="15"/>
      <c r="AS48" s="15"/>
      <c r="AT48" s="13"/>
      <c r="AU48" s="13"/>
      <c r="AV48" s="13"/>
      <c r="AW48" s="13"/>
      <c r="AX48" s="13"/>
      <c r="AY48" s="13"/>
    </row>
    <row r="49" spans="1:51" x14ac:dyDescent="0.2">
      <c r="A49" s="13"/>
      <c r="B49" s="14"/>
      <c r="C49" s="13"/>
      <c r="D49" s="13"/>
      <c r="E49" s="14"/>
      <c r="F49" s="13"/>
      <c r="G49" s="14"/>
      <c r="H49" s="13"/>
      <c r="I49" s="13"/>
      <c r="J49" s="13"/>
      <c r="K49" s="13"/>
      <c r="L49" s="13"/>
      <c r="M49" s="13"/>
      <c r="N49" s="13"/>
      <c r="O49" s="13"/>
      <c r="P49" s="14"/>
      <c r="Q49" s="13"/>
      <c r="R49" s="13"/>
      <c r="S49" s="14"/>
      <c r="T49" s="14"/>
      <c r="U49" s="14"/>
      <c r="V49" s="14"/>
      <c r="W49" s="14"/>
      <c r="X49" s="13"/>
      <c r="Y49" s="13"/>
      <c r="Z49" s="15"/>
      <c r="AA49" s="13"/>
      <c r="AB49" s="13"/>
      <c r="AC49" s="13"/>
      <c r="AD49" s="14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5"/>
      <c r="AP49" s="15"/>
      <c r="AQ49" s="13"/>
      <c r="AR49" s="15"/>
      <c r="AS49" s="15"/>
      <c r="AT49" s="13"/>
      <c r="AU49" s="13"/>
      <c r="AV49" s="13"/>
      <c r="AW49" s="13"/>
      <c r="AX49" s="13"/>
      <c r="AY49" s="15"/>
    </row>
    <row r="50" spans="1:51" x14ac:dyDescent="0.2">
      <c r="A50" s="13"/>
      <c r="B50" s="14"/>
      <c r="C50" s="13"/>
      <c r="D50" s="13"/>
      <c r="E50" s="14"/>
      <c r="F50" s="13"/>
      <c r="G50" s="14"/>
      <c r="H50" s="13"/>
      <c r="I50" s="13"/>
      <c r="J50" s="13"/>
      <c r="K50" s="13"/>
      <c r="L50" s="13"/>
      <c r="M50" s="13"/>
      <c r="N50" s="13"/>
      <c r="O50" s="13"/>
      <c r="P50" s="14"/>
      <c r="Q50" s="13"/>
      <c r="R50" s="13"/>
      <c r="S50" s="14"/>
      <c r="T50" s="14"/>
      <c r="U50" s="14"/>
      <c r="V50" s="14"/>
      <c r="W50" s="14"/>
      <c r="X50" s="13"/>
      <c r="Y50" s="13"/>
      <c r="Z50" s="15"/>
      <c r="AA50" s="13"/>
      <c r="AB50" s="13"/>
      <c r="AC50" s="13"/>
      <c r="AD50" s="14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5"/>
      <c r="AP50" s="15"/>
      <c r="AQ50" s="13"/>
      <c r="AR50" s="15"/>
      <c r="AS50" s="15"/>
      <c r="AT50" s="13"/>
      <c r="AU50" s="13"/>
      <c r="AV50" s="13"/>
      <c r="AW50" s="13"/>
      <c r="AX50" s="13"/>
      <c r="AY50" s="15"/>
    </row>
    <row r="51" spans="1:51" x14ac:dyDescent="0.2">
      <c r="A51" s="13"/>
      <c r="B51" s="14"/>
      <c r="C51" s="13"/>
      <c r="D51" s="13"/>
      <c r="E51" s="14"/>
      <c r="F51" s="13"/>
      <c r="G51" s="14"/>
      <c r="H51" s="13"/>
      <c r="I51" s="13"/>
      <c r="J51" s="13"/>
      <c r="K51" s="13"/>
      <c r="L51" s="13"/>
      <c r="M51" s="13"/>
      <c r="N51" s="13"/>
      <c r="O51" s="13"/>
      <c r="P51" s="14"/>
      <c r="Q51" s="13"/>
      <c r="R51" s="13"/>
      <c r="S51" s="14"/>
      <c r="T51" s="14"/>
      <c r="U51" s="14"/>
      <c r="V51" s="14"/>
      <c r="W51" s="14"/>
      <c r="X51" s="13"/>
      <c r="Y51" s="13"/>
      <c r="Z51" s="15"/>
      <c r="AA51" s="13"/>
      <c r="AB51" s="13"/>
      <c r="AC51" s="13"/>
      <c r="AD51" s="14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5"/>
      <c r="AP51" s="15"/>
      <c r="AQ51" s="13"/>
      <c r="AR51" s="15"/>
      <c r="AS51" s="15"/>
      <c r="AT51" s="13"/>
      <c r="AU51" s="13"/>
      <c r="AV51" s="13"/>
      <c r="AW51" s="13"/>
      <c r="AX51" s="13"/>
      <c r="AY51" s="13"/>
    </row>
    <row r="52" spans="1:51" x14ac:dyDescent="0.2">
      <c r="A52" s="13"/>
      <c r="B52" s="14"/>
      <c r="C52" s="13"/>
      <c r="D52" s="13"/>
      <c r="E52" s="14"/>
      <c r="F52" s="13"/>
      <c r="G52" s="14"/>
      <c r="H52" s="13"/>
      <c r="I52" s="13"/>
      <c r="J52" s="13"/>
      <c r="K52" s="13"/>
      <c r="L52" s="13"/>
      <c r="M52" s="13"/>
      <c r="N52" s="13"/>
      <c r="O52" s="13"/>
      <c r="P52" s="14"/>
      <c r="Q52" s="13"/>
      <c r="R52" s="13"/>
      <c r="S52" s="14"/>
      <c r="T52" s="14"/>
      <c r="U52" s="14"/>
      <c r="V52" s="14"/>
      <c r="W52" s="14"/>
      <c r="X52" s="13"/>
      <c r="Y52" s="13"/>
      <c r="Z52" s="15"/>
      <c r="AA52" s="13"/>
      <c r="AB52" s="13"/>
      <c r="AC52" s="13"/>
      <c r="AD52" s="14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5"/>
      <c r="AP52" s="15"/>
      <c r="AQ52" s="13"/>
      <c r="AR52" s="15"/>
      <c r="AS52" s="15"/>
      <c r="AT52" s="13"/>
      <c r="AU52" s="13"/>
      <c r="AV52" s="13"/>
      <c r="AW52" s="13"/>
      <c r="AX52" s="13"/>
      <c r="AY52" s="13"/>
    </row>
    <row r="53" spans="1:51" x14ac:dyDescent="0.2">
      <c r="A53" s="13"/>
      <c r="B53" s="14"/>
      <c r="C53" s="13"/>
      <c r="D53" s="13"/>
      <c r="E53" s="14"/>
      <c r="F53" s="13"/>
      <c r="G53" s="14"/>
      <c r="H53" s="13"/>
      <c r="I53" s="13"/>
      <c r="J53" s="13"/>
      <c r="K53" s="13"/>
      <c r="L53" s="13"/>
      <c r="M53" s="13"/>
      <c r="N53" s="13"/>
      <c r="O53" s="13"/>
      <c r="P53" s="14"/>
      <c r="Q53" s="13"/>
      <c r="R53" s="13"/>
      <c r="S53" s="14"/>
      <c r="T53" s="14"/>
      <c r="U53" s="14"/>
      <c r="V53" s="14"/>
      <c r="W53" s="14"/>
      <c r="X53" s="13"/>
      <c r="Y53" s="13"/>
      <c r="Z53" s="15"/>
      <c r="AA53" s="13"/>
      <c r="AB53" s="13"/>
      <c r="AC53" s="13"/>
      <c r="AD53" s="14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5"/>
      <c r="AP53" s="15"/>
      <c r="AQ53" s="13"/>
      <c r="AR53" s="15"/>
      <c r="AS53" s="15"/>
      <c r="AT53" s="13"/>
      <c r="AU53" s="13"/>
      <c r="AV53" s="13"/>
      <c r="AW53" s="13"/>
      <c r="AX53" s="13"/>
      <c r="AY53" s="13"/>
    </row>
    <row r="54" spans="1:51" x14ac:dyDescent="0.2">
      <c r="A54" s="13"/>
      <c r="B54" s="14"/>
      <c r="C54" s="13"/>
      <c r="D54" s="13"/>
      <c r="E54" s="14"/>
      <c r="F54" s="13"/>
      <c r="G54" s="14"/>
      <c r="H54" s="13"/>
      <c r="I54" s="13"/>
      <c r="J54" s="13"/>
      <c r="K54" s="13"/>
      <c r="L54" s="13"/>
      <c r="M54" s="13"/>
      <c r="N54" s="13"/>
      <c r="O54" s="13"/>
      <c r="P54" s="14"/>
      <c r="Q54" s="13"/>
      <c r="R54" s="13"/>
      <c r="S54" s="14"/>
      <c r="T54" s="14"/>
      <c r="U54" s="14"/>
      <c r="V54" s="14"/>
      <c r="W54" s="14"/>
      <c r="X54" s="13"/>
      <c r="Y54" s="13"/>
      <c r="Z54" s="15"/>
      <c r="AA54" s="13"/>
      <c r="AB54" s="13"/>
      <c r="AC54" s="13"/>
      <c r="AD54" s="14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5"/>
      <c r="AP54" s="15"/>
      <c r="AQ54" s="13"/>
      <c r="AR54" s="15"/>
      <c r="AS54" s="15"/>
      <c r="AT54" s="13"/>
      <c r="AU54" s="13"/>
      <c r="AV54" s="13"/>
      <c r="AW54" s="13"/>
      <c r="AX54" s="13"/>
      <c r="AY54" s="15"/>
    </row>
    <row r="55" spans="1:51" x14ac:dyDescent="0.2">
      <c r="A55" s="13"/>
      <c r="B55" s="14"/>
      <c r="C55" s="13"/>
      <c r="D55" s="13"/>
      <c r="E55" s="14"/>
      <c r="F55" s="13"/>
      <c r="G55" s="14"/>
      <c r="H55" s="13"/>
      <c r="I55" s="13"/>
      <c r="J55" s="13"/>
      <c r="K55" s="13"/>
      <c r="L55" s="13"/>
      <c r="M55" s="13"/>
      <c r="N55" s="13"/>
      <c r="O55" s="13"/>
      <c r="P55" s="14"/>
      <c r="Q55" s="13"/>
      <c r="R55" s="13"/>
      <c r="S55" s="14"/>
      <c r="T55" s="14"/>
      <c r="U55" s="14"/>
      <c r="V55" s="14"/>
      <c r="W55" s="14"/>
      <c r="X55" s="13"/>
      <c r="Y55" s="13"/>
      <c r="Z55" s="15"/>
      <c r="AA55" s="13"/>
      <c r="AB55" s="13"/>
      <c r="AC55" s="13"/>
      <c r="AD55" s="14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5"/>
      <c r="AP55" s="15"/>
      <c r="AQ55" s="13"/>
      <c r="AR55" s="15"/>
      <c r="AS55" s="15"/>
      <c r="AT55" s="13"/>
      <c r="AU55" s="13"/>
      <c r="AV55" s="13"/>
      <c r="AW55" s="13"/>
      <c r="AX55" s="13"/>
      <c r="AY55" s="15"/>
    </row>
    <row r="56" spans="1:51" x14ac:dyDescent="0.2">
      <c r="A56" s="13"/>
      <c r="B56" s="14"/>
      <c r="C56" s="13"/>
      <c r="D56" s="13"/>
      <c r="E56" s="14"/>
      <c r="F56" s="13"/>
      <c r="G56" s="14"/>
      <c r="H56" s="13"/>
      <c r="I56" s="13"/>
      <c r="J56" s="13"/>
      <c r="K56" s="13"/>
      <c r="L56" s="13"/>
      <c r="M56" s="13"/>
      <c r="N56" s="13"/>
      <c r="O56" s="13"/>
      <c r="P56" s="14"/>
      <c r="Q56" s="13"/>
      <c r="R56" s="13"/>
      <c r="S56" s="14"/>
      <c r="T56" s="14"/>
      <c r="U56" s="14"/>
      <c r="V56" s="14"/>
      <c r="W56" s="14"/>
      <c r="X56" s="13"/>
      <c r="Y56" s="13"/>
      <c r="Z56" s="15"/>
      <c r="AA56" s="13"/>
      <c r="AB56" s="13"/>
      <c r="AC56" s="13"/>
      <c r="AD56" s="14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5"/>
      <c r="AP56" s="15"/>
      <c r="AQ56" s="13"/>
      <c r="AR56" s="15"/>
      <c r="AS56" s="15"/>
      <c r="AT56" s="13"/>
      <c r="AU56" s="13"/>
      <c r="AV56" s="13"/>
      <c r="AW56" s="13"/>
      <c r="AX56" s="13"/>
      <c r="AY56" s="13"/>
    </row>
    <row r="57" spans="1:51" x14ac:dyDescent="0.2">
      <c r="A57" s="13"/>
      <c r="B57" s="14"/>
      <c r="C57" s="13"/>
      <c r="D57" s="13"/>
      <c r="E57" s="14"/>
      <c r="F57" s="13"/>
      <c r="G57" s="14"/>
      <c r="H57" s="13"/>
      <c r="I57" s="13"/>
      <c r="J57" s="13"/>
      <c r="K57" s="13"/>
      <c r="L57" s="13"/>
      <c r="M57" s="13"/>
      <c r="N57" s="13"/>
      <c r="O57" s="13"/>
      <c r="P57" s="14"/>
      <c r="Q57" s="13"/>
      <c r="R57" s="13"/>
      <c r="S57" s="14"/>
      <c r="T57" s="14"/>
      <c r="U57" s="14"/>
      <c r="V57" s="14"/>
      <c r="W57" s="14"/>
      <c r="X57" s="13"/>
      <c r="Y57" s="13"/>
      <c r="Z57" s="15"/>
      <c r="AA57" s="13"/>
      <c r="AB57" s="13"/>
      <c r="AC57" s="13"/>
      <c r="AD57" s="14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5"/>
      <c r="AP57" s="15"/>
      <c r="AQ57" s="13"/>
      <c r="AR57" s="15"/>
      <c r="AS57" s="15"/>
      <c r="AT57" s="13"/>
      <c r="AU57" s="13"/>
      <c r="AV57" s="13"/>
      <c r="AW57" s="13"/>
      <c r="AX57" s="13"/>
      <c r="AY57" s="13"/>
    </row>
    <row r="58" spans="1:51" x14ac:dyDescent="0.2">
      <c r="A58" s="13"/>
      <c r="B58" s="14"/>
      <c r="C58" s="13"/>
      <c r="D58" s="13"/>
      <c r="E58" s="14"/>
      <c r="F58" s="13"/>
      <c r="G58" s="14"/>
      <c r="H58" s="13"/>
      <c r="I58" s="13"/>
      <c r="J58" s="13"/>
      <c r="K58" s="13"/>
      <c r="L58" s="13"/>
      <c r="M58" s="13"/>
      <c r="N58" s="13"/>
      <c r="O58" s="13"/>
      <c r="P58" s="14"/>
      <c r="Q58" s="13"/>
      <c r="R58" s="13"/>
      <c r="S58" s="14"/>
      <c r="T58" s="14"/>
      <c r="U58" s="14"/>
      <c r="V58" s="14"/>
      <c r="W58" s="14"/>
      <c r="X58" s="13"/>
      <c r="Y58" s="13"/>
      <c r="Z58" s="15"/>
      <c r="AA58" s="13"/>
      <c r="AB58" s="13"/>
      <c r="AC58" s="13"/>
      <c r="AD58" s="14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5"/>
      <c r="AP58" s="15"/>
      <c r="AQ58" s="13"/>
      <c r="AR58" s="15"/>
      <c r="AS58" s="15"/>
      <c r="AT58" s="13"/>
      <c r="AU58" s="13"/>
      <c r="AV58" s="13"/>
      <c r="AW58" s="13"/>
      <c r="AX58" s="13"/>
      <c r="AY58" s="15"/>
    </row>
    <row r="59" spans="1:51" x14ac:dyDescent="0.2">
      <c r="A59" s="13"/>
      <c r="B59" s="14"/>
      <c r="C59" s="13"/>
      <c r="D59" s="13"/>
      <c r="E59" s="14"/>
      <c r="F59" s="13"/>
      <c r="G59" s="14"/>
      <c r="H59" s="13"/>
      <c r="I59" s="13"/>
      <c r="J59" s="13"/>
      <c r="K59" s="13"/>
      <c r="L59" s="13"/>
      <c r="M59" s="13"/>
      <c r="N59" s="13"/>
      <c r="O59" s="13"/>
      <c r="P59" s="14"/>
      <c r="Q59" s="13"/>
      <c r="R59" s="13"/>
      <c r="S59" s="14"/>
      <c r="T59" s="14"/>
      <c r="U59" s="14"/>
      <c r="V59" s="14"/>
      <c r="W59" s="14"/>
      <c r="X59" s="13"/>
      <c r="Y59" s="13"/>
      <c r="Z59" s="15"/>
      <c r="AA59" s="13"/>
      <c r="AB59" s="13"/>
      <c r="AC59" s="13"/>
      <c r="AD59" s="14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5"/>
      <c r="AP59" s="15"/>
      <c r="AQ59" s="13"/>
      <c r="AR59" s="15"/>
      <c r="AS59" s="15"/>
      <c r="AT59" s="13"/>
      <c r="AU59" s="13"/>
      <c r="AV59" s="13"/>
      <c r="AW59" s="13"/>
      <c r="AX59" s="13"/>
      <c r="AY59" s="13"/>
    </row>
    <row r="60" spans="1:51" x14ac:dyDescent="0.2">
      <c r="A60" s="13"/>
      <c r="B60" s="14"/>
      <c r="C60" s="13"/>
      <c r="D60" s="13"/>
      <c r="E60" s="14"/>
      <c r="F60" s="13"/>
      <c r="G60" s="14"/>
      <c r="H60" s="13"/>
      <c r="I60" s="13"/>
      <c r="J60" s="13"/>
      <c r="K60" s="13"/>
      <c r="L60" s="13"/>
      <c r="M60" s="13"/>
      <c r="N60" s="13"/>
      <c r="O60" s="13"/>
      <c r="P60" s="14"/>
      <c r="Q60" s="13"/>
      <c r="R60" s="13"/>
      <c r="S60" s="14"/>
      <c r="T60" s="14"/>
      <c r="U60" s="14"/>
      <c r="V60" s="14"/>
      <c r="W60" s="14"/>
      <c r="X60" s="13"/>
      <c r="Y60" s="13"/>
      <c r="Z60" s="15"/>
      <c r="AA60" s="13"/>
      <c r="AB60" s="13"/>
      <c r="AC60" s="13"/>
      <c r="AD60" s="14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5"/>
      <c r="AP60" s="15"/>
      <c r="AQ60" s="13"/>
      <c r="AR60" s="15"/>
      <c r="AS60" s="15"/>
      <c r="AT60" s="13"/>
      <c r="AU60" s="13"/>
      <c r="AV60" s="13"/>
      <c r="AW60" s="13"/>
      <c r="AX60" s="13"/>
      <c r="AY60" s="13"/>
    </row>
    <row r="61" spans="1:51" x14ac:dyDescent="0.2">
      <c r="A61" s="13"/>
      <c r="B61" s="14"/>
      <c r="C61" s="13"/>
      <c r="D61" s="13"/>
      <c r="E61" s="14"/>
      <c r="F61" s="13"/>
      <c r="G61" s="14"/>
      <c r="H61" s="13"/>
      <c r="I61" s="13"/>
      <c r="J61" s="13"/>
      <c r="K61" s="13"/>
      <c r="L61" s="13"/>
      <c r="M61" s="13"/>
      <c r="N61" s="13"/>
      <c r="O61" s="13"/>
      <c r="P61" s="14"/>
      <c r="Q61" s="13"/>
      <c r="R61" s="13"/>
      <c r="S61" s="14"/>
      <c r="T61" s="14"/>
      <c r="U61" s="14"/>
      <c r="V61" s="14"/>
      <c r="W61" s="14"/>
      <c r="X61" s="13"/>
      <c r="Y61" s="13"/>
      <c r="Z61" s="15"/>
      <c r="AA61" s="13"/>
      <c r="AB61" s="13"/>
      <c r="AC61" s="13"/>
      <c r="AD61" s="14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5"/>
      <c r="AP61" s="15"/>
      <c r="AQ61" s="13"/>
      <c r="AR61" s="15"/>
      <c r="AS61" s="15"/>
      <c r="AT61" s="13"/>
      <c r="AU61" s="13"/>
      <c r="AV61" s="13"/>
      <c r="AW61" s="13"/>
      <c r="AX61" s="13"/>
      <c r="AY61" s="13"/>
    </row>
    <row r="62" spans="1:51" x14ac:dyDescent="0.2">
      <c r="A62" s="13"/>
      <c r="B62" s="14"/>
      <c r="C62" s="13"/>
      <c r="D62" s="13"/>
      <c r="E62" s="14"/>
      <c r="F62" s="13"/>
      <c r="G62" s="14"/>
      <c r="H62" s="13"/>
      <c r="I62" s="13"/>
      <c r="J62" s="13"/>
      <c r="K62" s="13"/>
      <c r="L62" s="13"/>
      <c r="M62" s="13"/>
      <c r="N62" s="13"/>
      <c r="O62" s="13"/>
      <c r="P62" s="14"/>
      <c r="Q62" s="13"/>
      <c r="R62" s="13"/>
      <c r="S62" s="14"/>
      <c r="T62" s="14"/>
      <c r="U62" s="14"/>
      <c r="V62" s="14"/>
      <c r="W62" s="14"/>
      <c r="X62" s="13"/>
      <c r="Y62" s="13"/>
      <c r="Z62" s="15"/>
      <c r="AA62" s="13"/>
      <c r="AB62" s="13"/>
      <c r="AC62" s="13"/>
      <c r="AD62" s="14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5"/>
      <c r="AP62" s="15"/>
      <c r="AQ62" s="13"/>
      <c r="AR62" s="15"/>
      <c r="AS62" s="15"/>
      <c r="AT62" s="13"/>
      <c r="AU62" s="13"/>
      <c r="AV62" s="13"/>
      <c r="AW62" s="13"/>
      <c r="AX62" s="13"/>
      <c r="AY62" s="13"/>
    </row>
    <row r="63" spans="1:51" x14ac:dyDescent="0.2">
      <c r="A63" s="13"/>
      <c r="B63" s="14"/>
      <c r="C63" s="13"/>
      <c r="D63" s="13"/>
      <c r="E63" s="14"/>
      <c r="F63" s="13"/>
      <c r="G63" s="14"/>
      <c r="H63" s="13"/>
      <c r="I63" s="13"/>
      <c r="J63" s="13"/>
      <c r="K63" s="13"/>
      <c r="L63" s="13"/>
      <c r="M63" s="13"/>
      <c r="N63" s="13"/>
      <c r="O63" s="13"/>
      <c r="P63" s="14"/>
      <c r="Q63" s="13"/>
      <c r="R63" s="13"/>
      <c r="S63" s="14"/>
      <c r="T63" s="14"/>
      <c r="U63" s="14"/>
      <c r="V63" s="14"/>
      <c r="W63" s="14"/>
      <c r="X63" s="13"/>
      <c r="Y63" s="13"/>
      <c r="Z63" s="15"/>
      <c r="AA63" s="13"/>
      <c r="AB63" s="13"/>
      <c r="AC63" s="13"/>
      <c r="AD63" s="14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5"/>
      <c r="AP63" s="15"/>
      <c r="AQ63" s="13"/>
      <c r="AR63" s="15"/>
      <c r="AS63" s="15"/>
      <c r="AT63" s="13"/>
      <c r="AU63" s="13"/>
      <c r="AV63" s="13"/>
      <c r="AW63" s="13"/>
      <c r="AX63" s="13"/>
      <c r="AY63" s="13"/>
    </row>
    <row r="64" spans="1:51" x14ac:dyDescent="0.2">
      <c r="A64" s="13"/>
      <c r="B64" s="14"/>
      <c r="C64" s="13"/>
      <c r="D64" s="13"/>
      <c r="E64" s="14"/>
      <c r="F64" s="13"/>
      <c r="G64" s="14"/>
      <c r="H64" s="13"/>
      <c r="I64" s="13"/>
      <c r="J64" s="13"/>
      <c r="K64" s="13"/>
      <c r="L64" s="13"/>
      <c r="M64" s="13"/>
      <c r="N64" s="13"/>
      <c r="O64" s="13"/>
      <c r="P64" s="14"/>
      <c r="Q64" s="13"/>
      <c r="R64" s="13"/>
      <c r="S64" s="14"/>
      <c r="T64" s="14"/>
      <c r="U64" s="14"/>
      <c r="V64" s="14"/>
      <c r="W64" s="14"/>
      <c r="X64" s="13"/>
      <c r="Y64" s="13"/>
      <c r="Z64" s="15"/>
      <c r="AA64" s="13"/>
      <c r="AB64" s="13"/>
      <c r="AC64" s="13"/>
      <c r="AD64" s="14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5"/>
      <c r="AP64" s="15"/>
      <c r="AQ64" s="13"/>
      <c r="AR64" s="15"/>
      <c r="AS64" s="15"/>
      <c r="AT64" s="13"/>
      <c r="AU64" s="13"/>
      <c r="AV64" s="13"/>
      <c r="AW64" s="13"/>
      <c r="AX64" s="13"/>
      <c r="AY64" s="13"/>
    </row>
    <row r="65" spans="1:51" x14ac:dyDescent="0.2">
      <c r="A65" s="13"/>
      <c r="B65" s="14"/>
      <c r="C65" s="13"/>
      <c r="D65" s="13"/>
      <c r="E65" s="14"/>
      <c r="F65" s="13"/>
      <c r="G65" s="14"/>
      <c r="H65" s="13"/>
      <c r="I65" s="13"/>
      <c r="J65" s="13"/>
      <c r="K65" s="13"/>
      <c r="L65" s="13"/>
      <c r="M65" s="13"/>
      <c r="N65" s="13"/>
      <c r="O65" s="13"/>
      <c r="P65" s="14"/>
      <c r="Q65" s="13"/>
      <c r="R65" s="13"/>
      <c r="S65" s="14"/>
      <c r="T65" s="14"/>
      <c r="U65" s="14"/>
      <c r="V65" s="14"/>
      <c r="W65" s="14"/>
      <c r="X65" s="13"/>
      <c r="Y65" s="13"/>
      <c r="Z65" s="15"/>
      <c r="AA65" s="13"/>
      <c r="AB65" s="13"/>
      <c r="AC65" s="13"/>
      <c r="AD65" s="14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5"/>
      <c r="AP65" s="15"/>
      <c r="AQ65" s="13"/>
      <c r="AR65" s="15"/>
      <c r="AS65" s="15"/>
      <c r="AT65" s="13"/>
      <c r="AU65" s="13"/>
      <c r="AV65" s="13"/>
      <c r="AW65" s="13"/>
      <c r="AX65" s="13"/>
      <c r="AY65" s="15"/>
    </row>
    <row r="66" spans="1:51" x14ac:dyDescent="0.2">
      <c r="A66" s="13"/>
      <c r="B66" s="14"/>
      <c r="C66" s="13"/>
      <c r="D66" s="13"/>
      <c r="E66" s="14"/>
      <c r="F66" s="13"/>
      <c r="G66" s="14"/>
      <c r="H66" s="13"/>
      <c r="I66" s="13"/>
      <c r="J66" s="13"/>
      <c r="K66" s="13"/>
      <c r="L66" s="13"/>
      <c r="M66" s="13"/>
      <c r="N66" s="13"/>
      <c r="O66" s="13"/>
      <c r="P66" s="14"/>
      <c r="Q66" s="13"/>
      <c r="R66" s="13"/>
      <c r="S66" s="14"/>
      <c r="T66" s="14"/>
      <c r="U66" s="14"/>
      <c r="V66" s="14"/>
      <c r="W66" s="14"/>
      <c r="X66" s="13"/>
      <c r="Y66" s="13"/>
      <c r="Z66" s="15"/>
      <c r="AA66" s="13"/>
      <c r="AB66" s="13"/>
      <c r="AC66" s="13"/>
      <c r="AD66" s="14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5"/>
      <c r="AP66" s="15"/>
      <c r="AQ66" s="13"/>
      <c r="AR66" s="15"/>
      <c r="AS66" s="15"/>
      <c r="AT66" s="13"/>
      <c r="AU66" s="13"/>
      <c r="AV66" s="13"/>
      <c r="AW66" s="13"/>
      <c r="AX66" s="13"/>
      <c r="AY66" s="13"/>
    </row>
    <row r="67" spans="1:51" x14ac:dyDescent="0.2">
      <c r="A67" s="13"/>
      <c r="B67" s="14"/>
      <c r="C67" s="13"/>
      <c r="D67" s="13"/>
      <c r="E67" s="14"/>
      <c r="F67" s="13"/>
      <c r="G67" s="14"/>
      <c r="H67" s="13"/>
      <c r="I67" s="13"/>
      <c r="J67" s="13"/>
      <c r="K67" s="13"/>
      <c r="L67" s="13"/>
      <c r="M67" s="13"/>
      <c r="N67" s="13"/>
      <c r="O67" s="13"/>
      <c r="P67" s="14"/>
      <c r="Q67" s="13"/>
      <c r="R67" s="13"/>
      <c r="S67" s="14"/>
      <c r="T67" s="14"/>
      <c r="U67" s="14"/>
      <c r="V67" s="14"/>
      <c r="W67" s="14"/>
      <c r="X67" s="13"/>
      <c r="Y67" s="13"/>
      <c r="Z67" s="15"/>
      <c r="AA67" s="13"/>
      <c r="AB67" s="13"/>
      <c r="AC67" s="13"/>
      <c r="AD67" s="14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5"/>
      <c r="AP67" s="15"/>
      <c r="AQ67" s="13"/>
      <c r="AR67" s="15"/>
      <c r="AS67" s="15"/>
      <c r="AT67" s="13"/>
      <c r="AU67" s="13"/>
      <c r="AV67" s="13"/>
      <c r="AW67" s="13"/>
      <c r="AX67" s="13"/>
      <c r="AY67" s="13"/>
    </row>
    <row r="68" spans="1:51" x14ac:dyDescent="0.2">
      <c r="A68" s="13"/>
      <c r="B68" s="14"/>
      <c r="C68" s="13"/>
      <c r="D68" s="13"/>
      <c r="E68" s="14"/>
      <c r="F68" s="13"/>
      <c r="G68" s="14"/>
      <c r="H68" s="13"/>
      <c r="I68" s="13"/>
      <c r="J68" s="13"/>
      <c r="K68" s="13"/>
      <c r="L68" s="13"/>
      <c r="M68" s="13"/>
      <c r="N68" s="13"/>
      <c r="O68" s="13"/>
      <c r="P68" s="14"/>
      <c r="Q68" s="13"/>
      <c r="R68" s="13"/>
      <c r="S68" s="14"/>
      <c r="T68" s="14"/>
      <c r="U68" s="14"/>
      <c r="V68" s="14"/>
      <c r="W68" s="14"/>
      <c r="X68" s="13"/>
      <c r="Y68" s="13"/>
      <c r="Z68" s="15"/>
      <c r="AA68" s="13"/>
      <c r="AB68" s="13"/>
      <c r="AC68" s="13"/>
      <c r="AD68" s="14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5"/>
      <c r="AP68" s="15"/>
      <c r="AQ68" s="13"/>
      <c r="AR68" s="15"/>
      <c r="AS68" s="15"/>
      <c r="AT68" s="13"/>
      <c r="AU68" s="13"/>
      <c r="AV68" s="13"/>
      <c r="AW68" s="13"/>
      <c r="AX68" s="13"/>
      <c r="AY68" s="13"/>
    </row>
    <row r="69" spans="1:51" x14ac:dyDescent="0.2">
      <c r="A69" s="13"/>
      <c r="B69" s="14"/>
      <c r="C69" s="13"/>
      <c r="D69" s="13"/>
      <c r="E69" s="14"/>
      <c r="F69" s="13"/>
      <c r="G69" s="14"/>
      <c r="H69" s="13"/>
      <c r="I69" s="13"/>
      <c r="J69" s="13"/>
      <c r="K69" s="13"/>
      <c r="L69" s="13"/>
      <c r="M69" s="13"/>
      <c r="N69" s="13"/>
      <c r="O69" s="13"/>
      <c r="P69" s="14"/>
      <c r="Q69" s="13"/>
      <c r="R69" s="13"/>
      <c r="S69" s="14"/>
      <c r="T69" s="14"/>
      <c r="U69" s="14"/>
      <c r="V69" s="14"/>
      <c r="W69" s="14"/>
      <c r="X69" s="13"/>
      <c r="Y69" s="13"/>
      <c r="Z69" s="15"/>
      <c r="AA69" s="13"/>
      <c r="AB69" s="13"/>
      <c r="AC69" s="13"/>
      <c r="AD69" s="14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5"/>
      <c r="AP69" s="15"/>
      <c r="AQ69" s="13"/>
      <c r="AR69" s="15"/>
      <c r="AS69" s="15"/>
      <c r="AT69" s="13"/>
      <c r="AU69" s="13"/>
      <c r="AV69" s="13"/>
      <c r="AW69" s="13"/>
      <c r="AX69" s="13"/>
      <c r="AY69" s="15"/>
    </row>
    <row r="70" spans="1:51" x14ac:dyDescent="0.2">
      <c r="A70" s="13"/>
      <c r="B70" s="14"/>
      <c r="C70" s="13"/>
      <c r="D70" s="13"/>
      <c r="E70" s="14"/>
      <c r="F70" s="13"/>
      <c r="G70" s="14"/>
      <c r="H70" s="13"/>
      <c r="I70" s="13"/>
      <c r="J70" s="13"/>
      <c r="K70" s="13"/>
      <c r="L70" s="13"/>
      <c r="M70" s="13"/>
      <c r="N70" s="13"/>
      <c r="O70" s="13"/>
      <c r="P70" s="14"/>
      <c r="Q70" s="13"/>
      <c r="R70" s="13"/>
      <c r="S70" s="14"/>
      <c r="T70" s="14"/>
      <c r="U70" s="14"/>
      <c r="V70" s="14"/>
      <c r="W70" s="14"/>
      <c r="X70" s="13"/>
      <c r="Y70" s="13"/>
      <c r="Z70" s="15"/>
      <c r="AA70" s="13"/>
      <c r="AB70" s="13"/>
      <c r="AC70" s="13"/>
      <c r="AD70" s="14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5"/>
      <c r="AP70" s="15"/>
      <c r="AQ70" s="13"/>
      <c r="AR70" s="15"/>
      <c r="AS70" s="15"/>
      <c r="AT70" s="13"/>
      <c r="AU70" s="13"/>
      <c r="AV70" s="13"/>
      <c r="AW70" s="13"/>
      <c r="AX70" s="13"/>
      <c r="AY70" s="15"/>
    </row>
    <row r="71" spans="1:51" x14ac:dyDescent="0.2">
      <c r="A71" s="13"/>
      <c r="B71" s="14"/>
      <c r="C71" s="13"/>
      <c r="D71" s="13"/>
      <c r="E71" s="14"/>
      <c r="F71" s="13"/>
      <c r="G71" s="14"/>
      <c r="H71" s="13"/>
      <c r="I71" s="13"/>
      <c r="J71" s="13"/>
      <c r="K71" s="13"/>
      <c r="L71" s="13"/>
      <c r="M71" s="13"/>
      <c r="N71" s="13"/>
      <c r="O71" s="13"/>
      <c r="P71" s="14"/>
      <c r="Q71" s="13"/>
      <c r="R71" s="13"/>
      <c r="S71" s="14"/>
      <c r="T71" s="14"/>
      <c r="U71" s="14"/>
      <c r="V71" s="14"/>
      <c r="W71" s="14"/>
      <c r="X71" s="13"/>
      <c r="Y71" s="13"/>
      <c r="Z71" s="15"/>
      <c r="AA71" s="13"/>
      <c r="AB71" s="13"/>
      <c r="AC71" s="13"/>
      <c r="AD71" s="14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5"/>
      <c r="AP71" s="15"/>
      <c r="AQ71" s="13"/>
      <c r="AR71" s="15"/>
      <c r="AS71" s="15"/>
      <c r="AT71" s="13"/>
      <c r="AU71" s="13"/>
      <c r="AV71" s="13"/>
      <c r="AW71" s="13"/>
      <c r="AX71" s="13"/>
      <c r="AY71" s="13"/>
    </row>
    <row r="72" spans="1:51" x14ac:dyDescent="0.2">
      <c r="A72" s="13"/>
      <c r="B72" s="14"/>
      <c r="C72" s="13"/>
      <c r="D72" s="13"/>
      <c r="E72" s="14"/>
      <c r="F72" s="13"/>
      <c r="G72" s="14"/>
      <c r="H72" s="13"/>
      <c r="I72" s="13"/>
      <c r="J72" s="13"/>
      <c r="K72" s="13"/>
      <c r="L72" s="13"/>
      <c r="M72" s="13"/>
      <c r="N72" s="13"/>
      <c r="O72" s="13"/>
      <c r="P72" s="14"/>
      <c r="Q72" s="13"/>
      <c r="R72" s="13"/>
      <c r="S72" s="14"/>
      <c r="T72" s="14"/>
      <c r="U72" s="14"/>
      <c r="V72" s="14"/>
      <c r="W72" s="14"/>
      <c r="X72" s="13"/>
      <c r="Y72" s="13"/>
      <c r="Z72" s="15"/>
      <c r="AA72" s="13"/>
      <c r="AB72" s="13"/>
      <c r="AC72" s="13"/>
      <c r="AD72" s="14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5"/>
      <c r="AP72" s="15"/>
      <c r="AQ72" s="13"/>
      <c r="AR72" s="15"/>
      <c r="AS72" s="15"/>
      <c r="AT72" s="13"/>
      <c r="AU72" s="13"/>
      <c r="AV72" s="13"/>
      <c r="AW72" s="13"/>
      <c r="AX72" s="13"/>
      <c r="AY72" s="13"/>
    </row>
    <row r="73" spans="1:51" x14ac:dyDescent="0.2">
      <c r="A73" s="13"/>
      <c r="B73" s="14"/>
      <c r="C73" s="13"/>
      <c r="D73" s="13"/>
      <c r="E73" s="14"/>
      <c r="F73" s="13"/>
      <c r="G73" s="14"/>
      <c r="H73" s="13"/>
      <c r="I73" s="13"/>
      <c r="J73" s="13"/>
      <c r="K73" s="13"/>
      <c r="L73" s="13"/>
      <c r="M73" s="13"/>
      <c r="N73" s="13"/>
      <c r="O73" s="13"/>
      <c r="P73" s="14"/>
      <c r="Q73" s="13"/>
      <c r="R73" s="13"/>
      <c r="S73" s="14"/>
      <c r="T73" s="14"/>
      <c r="U73" s="14"/>
      <c r="V73" s="14"/>
      <c r="W73" s="14"/>
      <c r="X73" s="13"/>
      <c r="Y73" s="13"/>
      <c r="Z73" s="15"/>
      <c r="AA73" s="13"/>
      <c r="AB73" s="13"/>
      <c r="AC73" s="13"/>
      <c r="AD73" s="14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5"/>
      <c r="AP73" s="15"/>
      <c r="AQ73" s="13"/>
      <c r="AR73" s="15"/>
      <c r="AS73" s="15"/>
      <c r="AT73" s="13"/>
      <c r="AU73" s="13"/>
      <c r="AV73" s="13"/>
      <c r="AW73" s="13"/>
      <c r="AX73" s="13"/>
      <c r="AY73" s="15"/>
    </row>
    <row r="74" spans="1:51" x14ac:dyDescent="0.2">
      <c r="A74" s="13"/>
      <c r="B74" s="14"/>
      <c r="C74" s="13"/>
      <c r="D74" s="13"/>
      <c r="E74" s="14"/>
      <c r="F74" s="13"/>
      <c r="G74" s="14"/>
      <c r="H74" s="13"/>
      <c r="I74" s="13"/>
      <c r="J74" s="13"/>
      <c r="K74" s="13"/>
      <c r="L74" s="13"/>
      <c r="M74" s="13"/>
      <c r="N74" s="13"/>
      <c r="O74" s="13"/>
      <c r="P74" s="14"/>
      <c r="Q74" s="13"/>
      <c r="R74" s="13"/>
      <c r="S74" s="14"/>
      <c r="T74" s="14"/>
      <c r="U74" s="14"/>
      <c r="V74" s="14"/>
      <c r="W74" s="14"/>
      <c r="X74" s="13"/>
      <c r="Y74" s="13"/>
      <c r="Z74" s="15"/>
      <c r="AA74" s="13"/>
      <c r="AB74" s="13"/>
      <c r="AC74" s="13"/>
      <c r="AD74" s="14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5"/>
      <c r="AP74" s="15"/>
      <c r="AQ74" s="13"/>
      <c r="AR74" s="15"/>
      <c r="AS74" s="15"/>
      <c r="AT74" s="13"/>
      <c r="AU74" s="13"/>
      <c r="AV74" s="13"/>
      <c r="AW74" s="13"/>
      <c r="AX74" s="13"/>
      <c r="AY74" s="13"/>
    </row>
    <row r="75" spans="1:51" x14ac:dyDescent="0.2">
      <c r="A75" s="13"/>
      <c r="B75" s="14"/>
      <c r="C75" s="13"/>
      <c r="D75" s="13"/>
      <c r="E75" s="14"/>
      <c r="F75" s="13"/>
      <c r="G75" s="14"/>
      <c r="H75" s="13"/>
      <c r="I75" s="13"/>
      <c r="J75" s="13"/>
      <c r="K75" s="13"/>
      <c r="L75" s="13"/>
      <c r="M75" s="13"/>
      <c r="N75" s="13"/>
      <c r="O75" s="13"/>
      <c r="P75" s="14"/>
      <c r="Q75" s="13"/>
      <c r="R75" s="13"/>
      <c r="S75" s="14"/>
      <c r="T75" s="14"/>
      <c r="U75" s="14"/>
      <c r="V75" s="14"/>
      <c r="W75" s="14"/>
      <c r="X75" s="13"/>
      <c r="Y75" s="13"/>
      <c r="Z75" s="15"/>
      <c r="AA75" s="13"/>
      <c r="AB75" s="13"/>
      <c r="AC75" s="13"/>
      <c r="AD75" s="14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5"/>
      <c r="AP75" s="15"/>
      <c r="AQ75" s="13"/>
      <c r="AR75" s="15"/>
      <c r="AS75" s="15"/>
      <c r="AT75" s="13"/>
      <c r="AU75" s="13"/>
      <c r="AV75" s="13"/>
      <c r="AW75" s="13"/>
      <c r="AX75" s="13"/>
      <c r="AY75" s="13"/>
    </row>
    <row r="76" spans="1:51" x14ac:dyDescent="0.2">
      <c r="A76" s="13"/>
      <c r="B76" s="14"/>
      <c r="C76" s="13"/>
      <c r="D76" s="13"/>
      <c r="E76" s="14"/>
      <c r="F76" s="13"/>
      <c r="G76" s="14"/>
      <c r="H76" s="13"/>
      <c r="I76" s="13"/>
      <c r="J76" s="13"/>
      <c r="K76" s="13"/>
      <c r="L76" s="13"/>
      <c r="M76" s="13"/>
      <c r="N76" s="13"/>
      <c r="O76" s="13"/>
      <c r="P76" s="14"/>
      <c r="Q76" s="13"/>
      <c r="R76" s="13"/>
      <c r="S76" s="14"/>
      <c r="T76" s="14"/>
      <c r="U76" s="14"/>
      <c r="V76" s="14"/>
      <c r="W76" s="14"/>
      <c r="X76" s="13"/>
      <c r="Y76" s="13"/>
      <c r="Z76" s="15"/>
      <c r="AA76" s="13"/>
      <c r="AB76" s="13"/>
      <c r="AC76" s="13"/>
      <c r="AD76" s="14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5"/>
      <c r="AP76" s="15"/>
      <c r="AQ76" s="13"/>
      <c r="AR76" s="15"/>
      <c r="AS76" s="15"/>
      <c r="AT76" s="13"/>
      <c r="AU76" s="13"/>
      <c r="AV76" s="13"/>
      <c r="AW76" s="13"/>
      <c r="AX76" s="13"/>
      <c r="AY76" s="15"/>
    </row>
    <row r="77" spans="1:51" x14ac:dyDescent="0.2">
      <c r="A77" s="13"/>
      <c r="B77" s="14"/>
      <c r="C77" s="13"/>
      <c r="D77" s="13"/>
      <c r="E77" s="14"/>
      <c r="F77" s="13"/>
      <c r="G77" s="14"/>
      <c r="H77" s="13"/>
      <c r="I77" s="13"/>
      <c r="J77" s="13"/>
      <c r="K77" s="13"/>
      <c r="L77" s="13"/>
      <c r="M77" s="13"/>
      <c r="N77" s="13"/>
      <c r="O77" s="13"/>
      <c r="P77" s="14"/>
      <c r="Q77" s="13"/>
      <c r="R77" s="13"/>
      <c r="S77" s="14"/>
      <c r="T77" s="14"/>
      <c r="U77" s="14"/>
      <c r="V77" s="14"/>
      <c r="W77" s="14"/>
      <c r="X77" s="13"/>
      <c r="Y77" s="13"/>
      <c r="Z77" s="15"/>
      <c r="AA77" s="13"/>
      <c r="AB77" s="13"/>
      <c r="AC77" s="13"/>
      <c r="AD77" s="14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5"/>
      <c r="AP77" s="15"/>
      <c r="AQ77" s="13"/>
      <c r="AR77" s="15"/>
      <c r="AS77" s="15"/>
      <c r="AT77" s="13"/>
      <c r="AU77" s="13"/>
      <c r="AV77" s="13"/>
      <c r="AW77" s="13"/>
      <c r="AX77" s="13"/>
      <c r="AY77" s="13"/>
    </row>
    <row r="78" spans="1:51" x14ac:dyDescent="0.2">
      <c r="A78" s="13"/>
      <c r="B78" s="14"/>
      <c r="C78" s="13"/>
      <c r="D78" s="13"/>
      <c r="E78" s="14"/>
      <c r="F78" s="13"/>
      <c r="G78" s="14"/>
      <c r="H78" s="13"/>
      <c r="I78" s="13"/>
      <c r="J78" s="13"/>
      <c r="K78" s="13"/>
      <c r="L78" s="13"/>
      <c r="M78" s="13"/>
      <c r="N78" s="13"/>
      <c r="O78" s="13"/>
      <c r="P78" s="14"/>
      <c r="Q78" s="13"/>
      <c r="R78" s="13"/>
      <c r="S78" s="14"/>
      <c r="T78" s="14"/>
      <c r="U78" s="14"/>
      <c r="V78" s="14"/>
      <c r="W78" s="14"/>
      <c r="X78" s="13"/>
      <c r="Y78" s="13"/>
      <c r="Z78" s="15"/>
      <c r="AA78" s="13"/>
      <c r="AB78" s="13"/>
      <c r="AC78" s="13"/>
      <c r="AD78" s="14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5"/>
      <c r="AP78" s="15"/>
      <c r="AQ78" s="13"/>
      <c r="AR78" s="15"/>
      <c r="AS78" s="15"/>
      <c r="AT78" s="13"/>
      <c r="AU78" s="13"/>
      <c r="AV78" s="13"/>
      <c r="AW78" s="13"/>
      <c r="AX78" s="13"/>
      <c r="AY78" s="13"/>
    </row>
    <row r="79" spans="1:51" x14ac:dyDescent="0.2">
      <c r="A79" s="13"/>
      <c r="B79" s="14"/>
      <c r="C79" s="13"/>
      <c r="D79" s="13"/>
      <c r="E79" s="14"/>
      <c r="F79" s="13"/>
      <c r="G79" s="14"/>
      <c r="H79" s="13"/>
      <c r="I79" s="13"/>
      <c r="J79" s="13"/>
      <c r="K79" s="13"/>
      <c r="L79" s="13"/>
      <c r="M79" s="13"/>
      <c r="N79" s="13"/>
      <c r="O79" s="13"/>
      <c r="P79" s="14"/>
      <c r="Q79" s="13"/>
      <c r="R79" s="13"/>
      <c r="S79" s="14"/>
      <c r="T79" s="14"/>
      <c r="U79" s="14"/>
      <c r="V79" s="14"/>
      <c r="W79" s="14"/>
      <c r="X79" s="13"/>
      <c r="Y79" s="13"/>
      <c r="Z79" s="15"/>
      <c r="AA79" s="13"/>
      <c r="AB79" s="13"/>
      <c r="AC79" s="13"/>
      <c r="AD79" s="14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5"/>
      <c r="AP79" s="15"/>
      <c r="AQ79" s="13"/>
      <c r="AR79" s="15"/>
      <c r="AS79" s="15"/>
      <c r="AT79" s="13"/>
      <c r="AU79" s="13"/>
      <c r="AV79" s="13"/>
      <c r="AW79" s="13"/>
      <c r="AX79" s="13"/>
      <c r="AY79" s="13"/>
    </row>
    <row r="80" spans="1:51" x14ac:dyDescent="0.2">
      <c r="A80" s="13"/>
      <c r="B80" s="14"/>
      <c r="C80" s="13"/>
      <c r="D80" s="13"/>
      <c r="E80" s="14"/>
      <c r="F80" s="13"/>
      <c r="G80" s="14"/>
      <c r="H80" s="13"/>
      <c r="I80" s="13"/>
      <c r="J80" s="13"/>
      <c r="K80" s="13"/>
      <c r="L80" s="13"/>
      <c r="M80" s="13"/>
      <c r="N80" s="13"/>
      <c r="O80" s="13"/>
      <c r="P80" s="14"/>
      <c r="Q80" s="13"/>
      <c r="R80" s="13"/>
      <c r="S80" s="14"/>
      <c r="T80" s="14"/>
      <c r="U80" s="14"/>
      <c r="V80" s="14"/>
      <c r="W80" s="14"/>
      <c r="X80" s="13"/>
      <c r="Y80" s="13"/>
      <c r="Z80" s="15"/>
      <c r="AA80" s="13"/>
      <c r="AB80" s="13"/>
      <c r="AC80" s="13"/>
      <c r="AD80" s="14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5"/>
      <c r="AP80" s="15"/>
      <c r="AQ80" s="13"/>
      <c r="AR80" s="15"/>
      <c r="AS80" s="15"/>
      <c r="AT80" s="13"/>
      <c r="AU80" s="13"/>
      <c r="AV80" s="13"/>
      <c r="AW80" s="13"/>
      <c r="AX80" s="13"/>
      <c r="AY80" s="13"/>
    </row>
    <row r="81" spans="1:51" x14ac:dyDescent="0.2">
      <c r="A81" s="13"/>
      <c r="B81" s="14"/>
      <c r="C81" s="13"/>
      <c r="D81" s="13"/>
      <c r="E81" s="14"/>
      <c r="F81" s="13"/>
      <c r="G81" s="14"/>
      <c r="H81" s="13"/>
      <c r="I81" s="13"/>
      <c r="J81" s="13"/>
      <c r="K81" s="13"/>
      <c r="L81" s="13"/>
      <c r="M81" s="13"/>
      <c r="N81" s="13"/>
      <c r="O81" s="13"/>
      <c r="P81" s="14"/>
      <c r="Q81" s="13"/>
      <c r="R81" s="13"/>
      <c r="S81" s="14"/>
      <c r="T81" s="14"/>
      <c r="U81" s="14"/>
      <c r="V81" s="14"/>
      <c r="W81" s="14"/>
      <c r="X81" s="13"/>
      <c r="Y81" s="13"/>
      <c r="Z81" s="15"/>
      <c r="AA81" s="13"/>
      <c r="AB81" s="13"/>
      <c r="AC81" s="13"/>
      <c r="AD81" s="14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5"/>
      <c r="AP81" s="15"/>
      <c r="AQ81" s="13"/>
      <c r="AR81" s="15"/>
      <c r="AS81" s="15"/>
      <c r="AT81" s="13"/>
      <c r="AU81" s="13"/>
      <c r="AV81" s="13"/>
      <c r="AW81" s="13"/>
      <c r="AX81" s="13"/>
      <c r="AY81" s="15"/>
    </row>
    <row r="82" spans="1:51" x14ac:dyDescent="0.2">
      <c r="A82" s="13"/>
      <c r="B82" s="14"/>
      <c r="C82" s="13"/>
      <c r="D82" s="13"/>
      <c r="E82" s="14"/>
      <c r="F82" s="13"/>
      <c r="G82" s="14"/>
      <c r="H82" s="13"/>
      <c r="I82" s="13"/>
      <c r="J82" s="13"/>
      <c r="K82" s="13"/>
      <c r="L82" s="13"/>
      <c r="M82" s="13"/>
      <c r="N82" s="13"/>
      <c r="O82" s="13"/>
      <c r="P82" s="14"/>
      <c r="Q82" s="13"/>
      <c r="R82" s="13"/>
      <c r="S82" s="14"/>
      <c r="T82" s="14"/>
      <c r="U82" s="14"/>
      <c r="V82" s="14"/>
      <c r="W82" s="14"/>
      <c r="X82" s="13"/>
      <c r="Y82" s="13"/>
      <c r="Z82" s="15"/>
      <c r="AA82" s="13"/>
      <c r="AB82" s="13"/>
      <c r="AC82" s="13"/>
      <c r="AD82" s="14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5"/>
      <c r="AP82" s="15"/>
      <c r="AQ82" s="13"/>
      <c r="AR82" s="15"/>
      <c r="AS82" s="15"/>
      <c r="AT82" s="13"/>
      <c r="AU82" s="13"/>
      <c r="AV82" s="13"/>
      <c r="AW82" s="13"/>
      <c r="AX82" s="13"/>
      <c r="AY82" s="13"/>
    </row>
    <row r="83" spans="1:51" x14ac:dyDescent="0.2">
      <c r="A83" s="13"/>
      <c r="B83" s="14"/>
      <c r="C83" s="13"/>
      <c r="D83" s="13"/>
      <c r="E83" s="14"/>
      <c r="F83" s="13"/>
      <c r="G83" s="14"/>
      <c r="H83" s="13"/>
      <c r="I83" s="13"/>
      <c r="J83" s="13"/>
      <c r="K83" s="13"/>
      <c r="L83" s="13"/>
      <c r="M83" s="13"/>
      <c r="N83" s="13"/>
      <c r="O83" s="13"/>
      <c r="P83" s="14"/>
      <c r="Q83" s="13"/>
      <c r="R83" s="13"/>
      <c r="S83" s="14"/>
      <c r="T83" s="14"/>
      <c r="U83" s="14"/>
      <c r="V83" s="14"/>
      <c r="W83" s="14"/>
      <c r="X83" s="13"/>
      <c r="Y83" s="13"/>
      <c r="Z83" s="15"/>
      <c r="AA83" s="13"/>
      <c r="AB83" s="13"/>
      <c r="AC83" s="13"/>
      <c r="AD83" s="14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5"/>
      <c r="AP83" s="15"/>
      <c r="AQ83" s="13"/>
      <c r="AR83" s="15"/>
      <c r="AS83" s="15"/>
      <c r="AT83" s="13"/>
      <c r="AU83" s="13"/>
      <c r="AV83" s="13"/>
      <c r="AW83" s="13"/>
      <c r="AX83" s="13"/>
      <c r="AY83" s="15"/>
    </row>
    <row r="84" spans="1:51" x14ac:dyDescent="0.2">
      <c r="A84" s="13"/>
      <c r="B84" s="14"/>
      <c r="C84" s="13"/>
      <c r="D84" s="13"/>
      <c r="E84" s="14"/>
      <c r="F84" s="13"/>
      <c r="G84" s="14"/>
      <c r="H84" s="13"/>
      <c r="I84" s="13"/>
      <c r="J84" s="13"/>
      <c r="K84" s="13"/>
      <c r="L84" s="13"/>
      <c r="M84" s="13"/>
      <c r="N84" s="13"/>
      <c r="O84" s="13"/>
      <c r="P84" s="14"/>
      <c r="Q84" s="13"/>
      <c r="R84" s="13"/>
      <c r="S84" s="14"/>
      <c r="T84" s="14"/>
      <c r="U84" s="14"/>
      <c r="V84" s="14"/>
      <c r="W84" s="14"/>
      <c r="X84" s="13"/>
      <c r="Y84" s="13"/>
      <c r="Z84" s="15"/>
      <c r="AA84" s="13"/>
      <c r="AB84" s="13"/>
      <c r="AC84" s="13"/>
      <c r="AD84" s="14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5"/>
      <c r="AP84" s="15"/>
      <c r="AQ84" s="13"/>
      <c r="AR84" s="15"/>
      <c r="AS84" s="15"/>
      <c r="AT84" s="13"/>
      <c r="AU84" s="13"/>
      <c r="AV84" s="13"/>
      <c r="AW84" s="13"/>
      <c r="AX84" s="13"/>
      <c r="AY84" s="13"/>
    </row>
    <row r="85" spans="1:51" x14ac:dyDescent="0.2">
      <c r="A85" s="13"/>
      <c r="B85" s="14"/>
      <c r="C85" s="13"/>
      <c r="D85" s="13"/>
      <c r="E85" s="14"/>
      <c r="F85" s="13"/>
      <c r="G85" s="14"/>
      <c r="H85" s="13"/>
      <c r="I85" s="13"/>
      <c r="J85" s="13"/>
      <c r="K85" s="13"/>
      <c r="L85" s="13"/>
      <c r="M85" s="13"/>
      <c r="N85" s="13"/>
      <c r="O85" s="13"/>
      <c r="P85" s="14"/>
      <c r="Q85" s="13"/>
      <c r="R85" s="13"/>
      <c r="S85" s="14"/>
      <c r="T85" s="14"/>
      <c r="U85" s="14"/>
      <c r="V85" s="14"/>
      <c r="W85" s="14"/>
      <c r="X85" s="13"/>
      <c r="Y85" s="13"/>
      <c r="Z85" s="15"/>
      <c r="AA85" s="13"/>
      <c r="AB85" s="13"/>
      <c r="AC85" s="13"/>
      <c r="AD85" s="14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5"/>
      <c r="AP85" s="15"/>
      <c r="AQ85" s="13"/>
      <c r="AR85" s="15"/>
      <c r="AS85" s="15"/>
      <c r="AT85" s="13"/>
      <c r="AU85" s="13"/>
      <c r="AV85" s="13"/>
      <c r="AW85" s="13"/>
      <c r="AX85" s="13"/>
      <c r="AY85" s="15"/>
    </row>
    <row r="86" spans="1:51" x14ac:dyDescent="0.2">
      <c r="A86" s="13"/>
      <c r="B86" s="14"/>
      <c r="C86" s="13"/>
      <c r="D86" s="13"/>
      <c r="E86" s="14"/>
      <c r="F86" s="13"/>
      <c r="G86" s="14"/>
      <c r="H86" s="13"/>
      <c r="I86" s="13"/>
      <c r="J86" s="13"/>
      <c r="K86" s="13"/>
      <c r="L86" s="13"/>
      <c r="M86" s="13"/>
      <c r="N86" s="13"/>
      <c r="O86" s="13"/>
      <c r="P86" s="14"/>
      <c r="Q86" s="13"/>
      <c r="R86" s="13"/>
      <c r="S86" s="14"/>
      <c r="T86" s="14"/>
      <c r="U86" s="14"/>
      <c r="V86" s="14"/>
      <c r="W86" s="14"/>
      <c r="X86" s="13"/>
      <c r="Y86" s="13"/>
      <c r="Z86" s="15"/>
      <c r="AA86" s="13"/>
      <c r="AB86" s="13"/>
      <c r="AC86" s="13"/>
      <c r="AD86" s="14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5"/>
      <c r="AP86" s="15"/>
      <c r="AQ86" s="13"/>
      <c r="AR86" s="15"/>
      <c r="AS86" s="15"/>
      <c r="AT86" s="13"/>
      <c r="AU86" s="13"/>
      <c r="AV86" s="13"/>
      <c r="AW86" s="13"/>
      <c r="AX86" s="13"/>
      <c r="AY86" s="13"/>
    </row>
    <row r="87" spans="1:51" x14ac:dyDescent="0.2">
      <c r="A87" s="13"/>
      <c r="B87" s="14"/>
      <c r="C87" s="13"/>
      <c r="D87" s="13"/>
      <c r="E87" s="14"/>
      <c r="F87" s="13"/>
      <c r="G87" s="14"/>
      <c r="H87" s="13"/>
      <c r="I87" s="13"/>
      <c r="J87" s="13"/>
      <c r="K87" s="13"/>
      <c r="L87" s="13"/>
      <c r="M87" s="13"/>
      <c r="N87" s="13"/>
      <c r="O87" s="13"/>
      <c r="P87" s="14"/>
      <c r="Q87" s="13"/>
      <c r="R87" s="13"/>
      <c r="S87" s="14"/>
      <c r="T87" s="14"/>
      <c r="U87" s="14"/>
      <c r="V87" s="14"/>
      <c r="W87" s="14"/>
      <c r="X87" s="13"/>
      <c r="Y87" s="13"/>
      <c r="Z87" s="15"/>
      <c r="AA87" s="13"/>
      <c r="AB87" s="13"/>
      <c r="AC87" s="13"/>
      <c r="AD87" s="14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5"/>
      <c r="AP87" s="15"/>
      <c r="AQ87" s="13"/>
      <c r="AR87" s="15"/>
      <c r="AS87" s="15"/>
      <c r="AT87" s="13"/>
      <c r="AU87" s="13"/>
      <c r="AV87" s="13"/>
      <c r="AW87" s="13"/>
      <c r="AX87" s="13"/>
      <c r="AY87" s="13"/>
    </row>
    <row r="88" spans="1:51" x14ac:dyDescent="0.2">
      <c r="A88" s="13"/>
      <c r="B88" s="14"/>
      <c r="C88" s="13"/>
      <c r="D88" s="13"/>
      <c r="E88" s="14"/>
      <c r="F88" s="13"/>
      <c r="G88" s="14"/>
      <c r="H88" s="13"/>
      <c r="I88" s="13"/>
      <c r="J88" s="13"/>
      <c r="K88" s="13"/>
      <c r="L88" s="13"/>
      <c r="M88" s="13"/>
      <c r="N88" s="13"/>
      <c r="O88" s="13"/>
      <c r="P88" s="14"/>
      <c r="Q88" s="13"/>
      <c r="R88" s="13"/>
      <c r="S88" s="14"/>
      <c r="T88" s="14"/>
      <c r="U88" s="14"/>
      <c r="V88" s="14"/>
      <c r="W88" s="14"/>
      <c r="X88" s="13"/>
      <c r="Y88" s="13"/>
      <c r="Z88" s="15"/>
      <c r="AA88" s="13"/>
      <c r="AB88" s="13"/>
      <c r="AC88" s="13"/>
      <c r="AD88" s="14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5"/>
      <c r="AP88" s="15"/>
      <c r="AQ88" s="13"/>
      <c r="AR88" s="15"/>
      <c r="AS88" s="15"/>
      <c r="AT88" s="13"/>
      <c r="AU88" s="13"/>
      <c r="AV88" s="13"/>
      <c r="AW88" s="13"/>
      <c r="AX88" s="13"/>
      <c r="AY88" s="13"/>
    </row>
    <row r="89" spans="1:51" x14ac:dyDescent="0.2">
      <c r="A89" s="13"/>
      <c r="B89" s="14"/>
      <c r="C89" s="13"/>
      <c r="D89" s="13"/>
      <c r="E89" s="14"/>
      <c r="F89" s="13"/>
      <c r="G89" s="14"/>
      <c r="H89" s="13"/>
      <c r="I89" s="13"/>
      <c r="J89" s="13"/>
      <c r="K89" s="13"/>
      <c r="L89" s="13"/>
      <c r="M89" s="13"/>
      <c r="N89" s="13"/>
      <c r="O89" s="13"/>
      <c r="P89" s="14"/>
      <c r="Q89" s="13"/>
      <c r="R89" s="13"/>
      <c r="S89" s="14"/>
      <c r="T89" s="14"/>
      <c r="U89" s="14"/>
      <c r="V89" s="14"/>
      <c r="W89" s="14"/>
      <c r="X89" s="13"/>
      <c r="Y89" s="13"/>
      <c r="Z89" s="15"/>
      <c r="AA89" s="13"/>
      <c r="AB89" s="13"/>
      <c r="AC89" s="13"/>
      <c r="AD89" s="14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5"/>
      <c r="AP89" s="15"/>
      <c r="AQ89" s="13"/>
      <c r="AR89" s="15"/>
      <c r="AS89" s="15"/>
      <c r="AT89" s="13"/>
      <c r="AU89" s="13"/>
      <c r="AV89" s="13"/>
      <c r="AW89" s="13"/>
      <c r="AX89" s="13"/>
      <c r="AY89" s="13"/>
    </row>
    <row r="90" spans="1:51" x14ac:dyDescent="0.2">
      <c r="A90" s="13"/>
      <c r="B90" s="14"/>
      <c r="C90" s="13"/>
      <c r="D90" s="13"/>
      <c r="E90" s="14"/>
      <c r="F90" s="13"/>
      <c r="G90" s="14"/>
      <c r="H90" s="13"/>
      <c r="I90" s="13"/>
      <c r="J90" s="13"/>
      <c r="K90" s="13"/>
      <c r="L90" s="13"/>
      <c r="M90" s="13"/>
      <c r="N90" s="13"/>
      <c r="O90" s="13"/>
      <c r="P90" s="14"/>
      <c r="Q90" s="13"/>
      <c r="R90" s="13"/>
      <c r="S90" s="14"/>
      <c r="T90" s="14"/>
      <c r="U90" s="14"/>
      <c r="V90" s="14"/>
      <c r="W90" s="14"/>
      <c r="X90" s="13"/>
      <c r="Y90" s="13"/>
      <c r="Z90" s="15"/>
      <c r="AA90" s="13"/>
      <c r="AB90" s="13"/>
      <c r="AC90" s="13"/>
      <c r="AD90" s="14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5"/>
      <c r="AP90" s="15"/>
      <c r="AQ90" s="13"/>
      <c r="AR90" s="15"/>
      <c r="AS90" s="15"/>
      <c r="AT90" s="13"/>
      <c r="AU90" s="13"/>
      <c r="AV90" s="13"/>
      <c r="AW90" s="13"/>
      <c r="AX90" s="13"/>
      <c r="AY90" s="13"/>
    </row>
    <row r="91" spans="1:51" x14ac:dyDescent="0.2">
      <c r="A91" s="13"/>
      <c r="B91" s="14"/>
      <c r="C91" s="13"/>
      <c r="D91" s="13"/>
      <c r="E91" s="14"/>
      <c r="F91" s="13"/>
      <c r="G91" s="14"/>
      <c r="H91" s="13"/>
      <c r="I91" s="13"/>
      <c r="J91" s="13"/>
      <c r="K91" s="13"/>
      <c r="L91" s="13"/>
      <c r="M91" s="13"/>
      <c r="N91" s="13"/>
      <c r="O91" s="13"/>
      <c r="P91" s="14"/>
      <c r="Q91" s="13"/>
      <c r="R91" s="13"/>
      <c r="S91" s="14"/>
      <c r="T91" s="14"/>
      <c r="U91" s="14"/>
      <c r="V91" s="14"/>
      <c r="W91" s="14"/>
      <c r="X91" s="13"/>
      <c r="Y91" s="13"/>
      <c r="Z91" s="15"/>
      <c r="AA91" s="13"/>
      <c r="AB91" s="13"/>
      <c r="AC91" s="13"/>
      <c r="AD91" s="14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5"/>
      <c r="AP91" s="15"/>
      <c r="AQ91" s="13"/>
      <c r="AR91" s="15"/>
      <c r="AS91" s="15"/>
      <c r="AT91" s="13"/>
      <c r="AU91" s="13"/>
      <c r="AV91" s="13"/>
      <c r="AW91" s="13"/>
      <c r="AX91" s="13"/>
      <c r="AY91" s="13"/>
    </row>
    <row r="92" spans="1:51" x14ac:dyDescent="0.2">
      <c r="A92" s="13"/>
      <c r="B92" s="14"/>
      <c r="C92" s="13"/>
      <c r="D92" s="13"/>
      <c r="E92" s="14"/>
      <c r="F92" s="13"/>
      <c r="G92" s="14"/>
      <c r="H92" s="13"/>
      <c r="I92" s="13"/>
      <c r="J92" s="13"/>
      <c r="K92" s="13"/>
      <c r="L92" s="13"/>
      <c r="M92" s="13"/>
      <c r="N92" s="13"/>
      <c r="O92" s="13"/>
      <c r="P92" s="14"/>
      <c r="Q92" s="13"/>
      <c r="R92" s="13"/>
      <c r="S92" s="14"/>
      <c r="T92" s="14"/>
      <c r="U92" s="14"/>
      <c r="V92" s="14"/>
      <c r="W92" s="14"/>
      <c r="X92" s="13"/>
      <c r="Y92" s="13"/>
      <c r="Z92" s="15"/>
      <c r="AA92" s="13"/>
      <c r="AB92" s="13"/>
      <c r="AC92" s="13"/>
      <c r="AD92" s="14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5"/>
      <c r="AP92" s="15"/>
      <c r="AQ92" s="13"/>
      <c r="AR92" s="15"/>
      <c r="AS92" s="15"/>
      <c r="AT92" s="13"/>
      <c r="AU92" s="13"/>
      <c r="AV92" s="13"/>
      <c r="AW92" s="13"/>
      <c r="AX92" s="13"/>
      <c r="AY92" s="13"/>
    </row>
    <row r="93" spans="1:51" x14ac:dyDescent="0.2">
      <c r="A93" s="13"/>
      <c r="B93" s="14"/>
      <c r="C93" s="13"/>
      <c r="D93" s="13"/>
      <c r="E93" s="14"/>
      <c r="F93" s="13"/>
      <c r="G93" s="14"/>
      <c r="H93" s="13"/>
      <c r="I93" s="13"/>
      <c r="J93" s="13"/>
      <c r="K93" s="13"/>
      <c r="L93" s="13"/>
      <c r="M93" s="13"/>
      <c r="N93" s="13"/>
      <c r="O93" s="13"/>
      <c r="P93" s="14"/>
      <c r="Q93" s="13"/>
      <c r="R93" s="13"/>
      <c r="S93" s="14"/>
      <c r="T93" s="14"/>
      <c r="U93" s="14"/>
      <c r="V93" s="14"/>
      <c r="W93" s="14"/>
      <c r="X93" s="13"/>
      <c r="Y93" s="13"/>
      <c r="Z93" s="15"/>
      <c r="AA93" s="13"/>
      <c r="AB93" s="13"/>
      <c r="AC93" s="13"/>
      <c r="AD93" s="14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5"/>
      <c r="AP93" s="15"/>
      <c r="AQ93" s="13"/>
      <c r="AR93" s="15"/>
      <c r="AS93" s="15"/>
      <c r="AT93" s="13"/>
      <c r="AU93" s="13"/>
      <c r="AV93" s="13"/>
      <c r="AW93" s="13"/>
      <c r="AX93" s="13"/>
      <c r="AY93" s="15"/>
    </row>
    <row r="94" spans="1:51" x14ac:dyDescent="0.2">
      <c r="A94" s="13"/>
      <c r="B94" s="14"/>
      <c r="C94" s="13"/>
      <c r="D94" s="13"/>
      <c r="E94" s="14"/>
      <c r="F94" s="13"/>
      <c r="G94" s="14"/>
      <c r="H94" s="13"/>
      <c r="I94" s="13"/>
      <c r="J94" s="13"/>
      <c r="K94" s="13"/>
      <c r="L94" s="13"/>
      <c r="M94" s="13"/>
      <c r="N94" s="13"/>
      <c r="O94" s="13"/>
      <c r="P94" s="14"/>
      <c r="Q94" s="13"/>
      <c r="R94" s="13"/>
      <c r="S94" s="14"/>
      <c r="T94" s="14"/>
      <c r="U94" s="14"/>
      <c r="V94" s="14"/>
      <c r="W94" s="14"/>
      <c r="X94" s="13"/>
      <c r="Y94" s="13"/>
      <c r="Z94" s="15"/>
      <c r="AA94" s="13"/>
      <c r="AB94" s="13"/>
      <c r="AC94" s="13"/>
      <c r="AD94" s="14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5"/>
      <c r="AP94" s="15"/>
      <c r="AQ94" s="13"/>
      <c r="AR94" s="15"/>
      <c r="AS94" s="15"/>
      <c r="AT94" s="13"/>
      <c r="AU94" s="13"/>
      <c r="AV94" s="13"/>
      <c r="AW94" s="13"/>
      <c r="AX94" s="13"/>
      <c r="AY94" s="15"/>
    </row>
    <row r="95" spans="1:51" x14ac:dyDescent="0.2">
      <c r="A95" s="13"/>
      <c r="B95" s="14"/>
      <c r="C95" s="13"/>
      <c r="D95" s="13"/>
      <c r="E95" s="14"/>
      <c r="F95" s="13"/>
      <c r="G95" s="14"/>
      <c r="H95" s="13"/>
      <c r="I95" s="13"/>
      <c r="J95" s="13"/>
      <c r="K95" s="13"/>
      <c r="L95" s="13"/>
      <c r="M95" s="13"/>
      <c r="N95" s="13"/>
      <c r="O95" s="13"/>
      <c r="P95" s="14"/>
      <c r="Q95" s="13"/>
      <c r="R95" s="13"/>
      <c r="S95" s="14"/>
      <c r="T95" s="14"/>
      <c r="U95" s="14"/>
      <c r="V95" s="14"/>
      <c r="W95" s="14"/>
      <c r="X95" s="13"/>
      <c r="Y95" s="13"/>
      <c r="Z95" s="15"/>
      <c r="AA95" s="13"/>
      <c r="AB95" s="13"/>
      <c r="AC95" s="13"/>
      <c r="AD95" s="14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5"/>
      <c r="AP95" s="15"/>
      <c r="AQ95" s="13"/>
      <c r="AR95" s="15"/>
      <c r="AS95" s="15"/>
      <c r="AT95" s="13"/>
      <c r="AU95" s="13"/>
      <c r="AV95" s="13"/>
      <c r="AW95" s="13"/>
      <c r="AX95" s="13"/>
      <c r="AY95" s="13"/>
    </row>
    <row r="96" spans="1:51" x14ac:dyDescent="0.2">
      <c r="A96" s="13"/>
      <c r="B96" s="14"/>
      <c r="C96" s="13"/>
      <c r="D96" s="13"/>
      <c r="E96" s="14"/>
      <c r="F96" s="13"/>
      <c r="G96" s="14"/>
      <c r="H96" s="13"/>
      <c r="I96" s="13"/>
      <c r="J96" s="13"/>
      <c r="K96" s="13"/>
      <c r="L96" s="13"/>
      <c r="M96" s="13"/>
      <c r="N96" s="13"/>
      <c r="O96" s="13"/>
      <c r="P96" s="14"/>
      <c r="Q96" s="13"/>
      <c r="R96" s="13"/>
      <c r="S96" s="14"/>
      <c r="T96" s="14"/>
      <c r="U96" s="14"/>
      <c r="V96" s="14"/>
      <c r="W96" s="14"/>
      <c r="X96" s="13"/>
      <c r="Y96" s="13"/>
      <c r="Z96" s="15"/>
      <c r="AA96" s="13"/>
      <c r="AB96" s="13"/>
      <c r="AC96" s="13"/>
      <c r="AD96" s="14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5"/>
      <c r="AP96" s="15"/>
      <c r="AQ96" s="13"/>
      <c r="AR96" s="15"/>
      <c r="AS96" s="15"/>
      <c r="AT96" s="13"/>
      <c r="AU96" s="13"/>
      <c r="AV96" s="13"/>
      <c r="AW96" s="13"/>
      <c r="AX96" s="13"/>
      <c r="AY96" s="15"/>
    </row>
    <row r="97" spans="1:51" x14ac:dyDescent="0.2">
      <c r="A97" s="13"/>
      <c r="B97" s="14"/>
      <c r="C97" s="13"/>
      <c r="D97" s="13"/>
      <c r="E97" s="14"/>
      <c r="F97" s="13"/>
      <c r="G97" s="14"/>
      <c r="H97" s="13"/>
      <c r="I97" s="13"/>
      <c r="J97" s="13"/>
      <c r="K97" s="13"/>
      <c r="L97" s="13"/>
      <c r="M97" s="13"/>
      <c r="N97" s="13"/>
      <c r="O97" s="13"/>
      <c r="P97" s="14"/>
      <c r="Q97" s="13"/>
      <c r="R97" s="13"/>
      <c r="S97" s="14"/>
      <c r="T97" s="14"/>
      <c r="U97" s="14"/>
      <c r="V97" s="14"/>
      <c r="W97" s="14"/>
      <c r="X97" s="13"/>
      <c r="Y97" s="13"/>
      <c r="Z97" s="15"/>
      <c r="AA97" s="13"/>
      <c r="AB97" s="13"/>
      <c r="AC97" s="13"/>
      <c r="AD97" s="14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5"/>
      <c r="AP97" s="15"/>
      <c r="AQ97" s="13"/>
      <c r="AR97" s="15"/>
      <c r="AS97" s="15"/>
      <c r="AT97" s="13"/>
      <c r="AU97" s="13"/>
      <c r="AV97" s="13"/>
      <c r="AW97" s="13"/>
      <c r="AX97" s="13"/>
      <c r="AY97" s="13"/>
    </row>
    <row r="98" spans="1:51" x14ac:dyDescent="0.2">
      <c r="A98" s="13"/>
      <c r="B98" s="14"/>
      <c r="C98" s="13"/>
      <c r="D98" s="13"/>
      <c r="E98" s="14"/>
      <c r="F98" s="13"/>
      <c r="G98" s="14"/>
      <c r="H98" s="13"/>
      <c r="I98" s="13"/>
      <c r="J98" s="13"/>
      <c r="K98" s="13"/>
      <c r="L98" s="13"/>
      <c r="M98" s="13"/>
      <c r="N98" s="13"/>
      <c r="O98" s="13"/>
      <c r="P98" s="14"/>
      <c r="Q98" s="13"/>
      <c r="R98" s="13"/>
      <c r="S98" s="14"/>
      <c r="T98" s="14"/>
      <c r="U98" s="14"/>
      <c r="V98" s="14"/>
      <c r="W98" s="14"/>
      <c r="X98" s="13"/>
      <c r="Y98" s="13"/>
      <c r="Z98" s="15"/>
      <c r="AA98" s="13"/>
      <c r="AB98" s="13"/>
      <c r="AC98" s="13"/>
      <c r="AD98" s="14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5"/>
      <c r="AP98" s="15"/>
      <c r="AQ98" s="13"/>
      <c r="AR98" s="15"/>
      <c r="AS98" s="15"/>
      <c r="AT98" s="13"/>
      <c r="AU98" s="13"/>
      <c r="AV98" s="13"/>
      <c r="AW98" s="13"/>
      <c r="AX98" s="13"/>
      <c r="AY98" s="13"/>
    </row>
    <row r="99" spans="1:51" x14ac:dyDescent="0.2">
      <c r="A99" s="13"/>
      <c r="B99" s="14"/>
      <c r="C99" s="13"/>
      <c r="D99" s="13"/>
      <c r="E99" s="14"/>
      <c r="F99" s="13"/>
      <c r="G99" s="14"/>
      <c r="H99" s="13"/>
      <c r="I99" s="13"/>
      <c r="J99" s="13"/>
      <c r="K99" s="13"/>
      <c r="L99" s="13"/>
      <c r="M99" s="13"/>
      <c r="N99" s="13"/>
      <c r="O99" s="13"/>
      <c r="P99" s="14"/>
      <c r="Q99" s="13"/>
      <c r="R99" s="13"/>
      <c r="S99" s="14"/>
      <c r="T99" s="14"/>
      <c r="U99" s="14"/>
      <c r="V99" s="14"/>
      <c r="W99" s="14"/>
      <c r="X99" s="13"/>
      <c r="Y99" s="13"/>
      <c r="Z99" s="15"/>
      <c r="AA99" s="13"/>
      <c r="AB99" s="13"/>
      <c r="AC99" s="13"/>
      <c r="AD99" s="14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5"/>
      <c r="AP99" s="15"/>
      <c r="AQ99" s="13"/>
      <c r="AR99" s="15"/>
      <c r="AS99" s="15"/>
      <c r="AT99" s="13"/>
      <c r="AU99" s="13"/>
      <c r="AV99" s="13"/>
      <c r="AW99" s="13"/>
      <c r="AX99" s="13"/>
      <c r="AY99" s="15"/>
    </row>
    <row r="100" spans="1:51" x14ac:dyDescent="0.2">
      <c r="A100" s="13"/>
      <c r="B100" s="14"/>
      <c r="C100" s="13"/>
      <c r="D100" s="13"/>
      <c r="E100" s="14"/>
      <c r="F100" s="13"/>
      <c r="G100" s="14"/>
      <c r="H100" s="13"/>
      <c r="I100" s="13"/>
      <c r="J100" s="13"/>
      <c r="K100" s="13"/>
      <c r="L100" s="13"/>
      <c r="M100" s="13"/>
      <c r="N100" s="13"/>
      <c r="O100" s="13"/>
      <c r="P100" s="14"/>
      <c r="Q100" s="13"/>
      <c r="R100" s="13"/>
      <c r="S100" s="14"/>
      <c r="T100" s="14"/>
      <c r="U100" s="14"/>
      <c r="V100" s="14"/>
      <c r="W100" s="14"/>
      <c r="X100" s="13"/>
      <c r="Y100" s="13"/>
      <c r="Z100" s="15"/>
      <c r="AA100" s="13"/>
      <c r="AB100" s="13"/>
      <c r="AC100" s="13"/>
      <c r="AD100" s="14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5"/>
      <c r="AP100" s="15"/>
      <c r="AQ100" s="13"/>
      <c r="AR100" s="15"/>
      <c r="AS100" s="15"/>
      <c r="AT100" s="13"/>
      <c r="AU100" s="13"/>
      <c r="AV100" s="13"/>
      <c r="AW100" s="13"/>
      <c r="AX100" s="13"/>
      <c r="AY100" s="13"/>
    </row>
    <row r="101" spans="1:51" x14ac:dyDescent="0.2">
      <c r="A101" s="13"/>
      <c r="B101" s="14"/>
      <c r="C101" s="13"/>
      <c r="D101" s="13"/>
      <c r="E101" s="14"/>
      <c r="F101" s="13"/>
      <c r="G101" s="14"/>
      <c r="H101" s="13"/>
      <c r="I101" s="13"/>
      <c r="J101" s="13"/>
      <c r="K101" s="13"/>
      <c r="L101" s="13"/>
      <c r="M101" s="13"/>
      <c r="N101" s="13"/>
      <c r="O101" s="13"/>
      <c r="P101" s="14"/>
      <c r="Q101" s="13"/>
      <c r="R101" s="13"/>
      <c r="S101" s="14"/>
      <c r="T101" s="14"/>
      <c r="U101" s="14"/>
      <c r="V101" s="14"/>
      <c r="W101" s="14"/>
      <c r="X101" s="13"/>
      <c r="Y101" s="13"/>
      <c r="Z101" s="15"/>
      <c r="AA101" s="13"/>
      <c r="AB101" s="13"/>
      <c r="AC101" s="13"/>
      <c r="AD101" s="14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5"/>
      <c r="AP101" s="15"/>
      <c r="AQ101" s="13"/>
      <c r="AR101" s="15"/>
      <c r="AS101" s="15"/>
      <c r="AT101" s="13"/>
      <c r="AU101" s="13"/>
      <c r="AV101" s="13"/>
      <c r="AW101" s="13"/>
      <c r="AX101" s="13"/>
      <c r="AY101" s="13"/>
    </row>
    <row r="102" spans="1:51" x14ac:dyDescent="0.2">
      <c r="A102" s="13"/>
      <c r="B102" s="14"/>
      <c r="C102" s="13"/>
      <c r="D102" s="13"/>
      <c r="E102" s="14"/>
      <c r="F102" s="13"/>
      <c r="G102" s="14"/>
      <c r="H102" s="13"/>
      <c r="I102" s="13"/>
      <c r="J102" s="13"/>
      <c r="K102" s="13"/>
      <c r="L102" s="13"/>
      <c r="M102" s="13"/>
      <c r="N102" s="13"/>
      <c r="O102" s="13"/>
      <c r="P102" s="14"/>
      <c r="Q102" s="13"/>
      <c r="R102" s="13"/>
      <c r="S102" s="14"/>
      <c r="T102" s="14"/>
      <c r="U102" s="14"/>
      <c r="V102" s="14"/>
      <c r="W102" s="14"/>
      <c r="X102" s="13"/>
      <c r="Y102" s="13"/>
      <c r="Z102" s="15"/>
      <c r="AA102" s="13"/>
      <c r="AB102" s="13"/>
      <c r="AC102" s="13"/>
      <c r="AD102" s="14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5"/>
      <c r="AP102" s="15"/>
      <c r="AQ102" s="13"/>
      <c r="AR102" s="15"/>
      <c r="AS102" s="15"/>
      <c r="AT102" s="13"/>
      <c r="AU102" s="13"/>
      <c r="AV102" s="13"/>
      <c r="AW102" s="13"/>
      <c r="AX102" s="13"/>
      <c r="AY102" s="13"/>
    </row>
    <row r="103" spans="1:51" x14ac:dyDescent="0.2">
      <c r="A103" s="13"/>
      <c r="B103" s="14"/>
      <c r="C103" s="13"/>
      <c r="D103" s="13"/>
      <c r="E103" s="14"/>
      <c r="F103" s="13"/>
      <c r="G103" s="14"/>
      <c r="H103" s="13"/>
      <c r="I103" s="13"/>
      <c r="J103" s="13"/>
      <c r="K103" s="13"/>
      <c r="L103" s="13"/>
      <c r="M103" s="13"/>
      <c r="N103" s="13"/>
      <c r="O103" s="13"/>
      <c r="P103" s="14"/>
      <c r="Q103" s="13"/>
      <c r="R103" s="13"/>
      <c r="S103" s="14"/>
      <c r="T103" s="14"/>
      <c r="U103" s="14"/>
      <c r="V103" s="14"/>
      <c r="W103" s="14"/>
      <c r="X103" s="13"/>
      <c r="Y103" s="13"/>
      <c r="Z103" s="15"/>
      <c r="AA103" s="13"/>
      <c r="AB103" s="13"/>
      <c r="AC103" s="13"/>
      <c r="AD103" s="14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5"/>
      <c r="AP103" s="15"/>
      <c r="AQ103" s="13"/>
      <c r="AR103" s="15"/>
      <c r="AS103" s="15"/>
      <c r="AT103" s="13"/>
      <c r="AU103" s="13"/>
      <c r="AV103" s="13"/>
      <c r="AW103" s="13"/>
      <c r="AX103" s="13"/>
      <c r="AY103" s="15"/>
    </row>
    <row r="104" spans="1:51" x14ac:dyDescent="0.2">
      <c r="A104" s="13"/>
      <c r="B104" s="14"/>
      <c r="C104" s="13"/>
      <c r="D104" s="13"/>
      <c r="E104" s="14"/>
      <c r="F104" s="13"/>
      <c r="G104" s="14"/>
      <c r="H104" s="13"/>
      <c r="I104" s="13"/>
      <c r="J104" s="13"/>
      <c r="K104" s="13"/>
      <c r="L104" s="13"/>
      <c r="M104" s="13"/>
      <c r="N104" s="13"/>
      <c r="O104" s="13"/>
      <c r="P104" s="14"/>
      <c r="Q104" s="13"/>
      <c r="R104" s="13"/>
      <c r="S104" s="14"/>
      <c r="T104" s="14"/>
      <c r="U104" s="14"/>
      <c r="V104" s="14"/>
      <c r="W104" s="14"/>
      <c r="X104" s="13"/>
      <c r="Y104" s="13"/>
      <c r="Z104" s="15"/>
      <c r="AA104" s="13"/>
      <c r="AB104" s="13"/>
      <c r="AC104" s="13"/>
      <c r="AD104" s="14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5"/>
      <c r="AP104" s="15"/>
      <c r="AQ104" s="13"/>
      <c r="AR104" s="15"/>
      <c r="AS104" s="15"/>
      <c r="AT104" s="13"/>
      <c r="AU104" s="13"/>
      <c r="AV104" s="13"/>
      <c r="AW104" s="13"/>
      <c r="AX104" s="13"/>
      <c r="AY104" s="13"/>
    </row>
    <row r="105" spans="1:51" x14ac:dyDescent="0.2">
      <c r="A105" s="13"/>
      <c r="B105" s="14"/>
      <c r="C105" s="13"/>
      <c r="D105" s="13"/>
      <c r="E105" s="14"/>
      <c r="F105" s="13"/>
      <c r="G105" s="14"/>
      <c r="H105" s="13"/>
      <c r="I105" s="13"/>
      <c r="J105" s="13"/>
      <c r="K105" s="13"/>
      <c r="L105" s="13"/>
      <c r="M105" s="13"/>
      <c r="N105" s="13"/>
      <c r="O105" s="13"/>
      <c r="P105" s="14"/>
      <c r="Q105" s="13"/>
      <c r="R105" s="13"/>
      <c r="S105" s="14"/>
      <c r="T105" s="14"/>
      <c r="U105" s="14"/>
      <c r="V105" s="14"/>
      <c r="W105" s="14"/>
      <c r="X105" s="13"/>
      <c r="Y105" s="13"/>
      <c r="Z105" s="15"/>
      <c r="AA105" s="13"/>
      <c r="AB105" s="13"/>
      <c r="AC105" s="13"/>
      <c r="AD105" s="14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5"/>
      <c r="AP105" s="15"/>
      <c r="AQ105" s="13"/>
      <c r="AR105" s="15"/>
      <c r="AS105" s="15"/>
      <c r="AT105" s="13"/>
      <c r="AU105" s="13"/>
      <c r="AV105" s="13"/>
      <c r="AW105" s="13"/>
      <c r="AX105" s="13"/>
      <c r="AY105" s="13"/>
    </row>
    <row r="106" spans="1:51" x14ac:dyDescent="0.2">
      <c r="A106" s="13"/>
      <c r="B106" s="14"/>
      <c r="C106" s="13"/>
      <c r="D106" s="13"/>
      <c r="E106" s="14"/>
      <c r="F106" s="13"/>
      <c r="G106" s="14"/>
      <c r="H106" s="13"/>
      <c r="I106" s="13"/>
      <c r="J106" s="13"/>
      <c r="K106" s="13"/>
      <c r="L106" s="13"/>
      <c r="M106" s="13"/>
      <c r="N106" s="13"/>
      <c r="O106" s="13"/>
      <c r="P106" s="14"/>
      <c r="Q106" s="13"/>
      <c r="R106" s="13"/>
      <c r="S106" s="14"/>
      <c r="T106" s="14"/>
      <c r="U106" s="14"/>
      <c r="V106" s="14"/>
      <c r="W106" s="14"/>
      <c r="X106" s="13"/>
      <c r="Y106" s="13"/>
      <c r="Z106" s="15"/>
      <c r="AA106" s="13"/>
      <c r="AB106" s="13"/>
      <c r="AC106" s="13"/>
      <c r="AD106" s="14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5"/>
      <c r="AP106" s="15"/>
      <c r="AQ106" s="13"/>
      <c r="AR106" s="15"/>
      <c r="AS106" s="15"/>
      <c r="AT106" s="13"/>
      <c r="AU106" s="13"/>
      <c r="AV106" s="13"/>
      <c r="AW106" s="13"/>
      <c r="AX106" s="13"/>
      <c r="AY106" s="15"/>
    </row>
    <row r="107" spans="1:51" x14ac:dyDescent="0.2">
      <c r="A107" s="13"/>
      <c r="B107" s="14"/>
      <c r="C107" s="13"/>
      <c r="D107" s="13"/>
      <c r="E107" s="14"/>
      <c r="F107" s="13"/>
      <c r="G107" s="14"/>
      <c r="H107" s="13"/>
      <c r="I107" s="13"/>
      <c r="J107" s="13"/>
      <c r="K107" s="13"/>
      <c r="L107" s="13"/>
      <c r="M107" s="13"/>
      <c r="N107" s="13"/>
      <c r="O107" s="13"/>
      <c r="P107" s="14"/>
      <c r="Q107" s="13"/>
      <c r="R107" s="13"/>
      <c r="S107" s="14"/>
      <c r="T107" s="14"/>
      <c r="U107" s="14"/>
      <c r="V107" s="14"/>
      <c r="W107" s="14"/>
      <c r="X107" s="13"/>
      <c r="Y107" s="13"/>
      <c r="Z107" s="15"/>
      <c r="AA107" s="13"/>
      <c r="AB107" s="13"/>
      <c r="AC107" s="13"/>
      <c r="AD107" s="14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5"/>
      <c r="AP107" s="15"/>
      <c r="AQ107" s="13"/>
      <c r="AR107" s="15"/>
      <c r="AS107" s="15"/>
      <c r="AT107" s="13"/>
      <c r="AU107" s="13"/>
      <c r="AV107" s="13"/>
      <c r="AW107" s="13"/>
      <c r="AX107" s="13"/>
      <c r="AY107" s="13"/>
    </row>
    <row r="108" spans="1:51" x14ac:dyDescent="0.2">
      <c r="A108" s="13"/>
      <c r="B108" s="14"/>
      <c r="C108" s="13"/>
      <c r="D108" s="13"/>
      <c r="E108" s="14"/>
      <c r="F108" s="13"/>
      <c r="G108" s="14"/>
      <c r="H108" s="13"/>
      <c r="I108" s="13"/>
      <c r="J108" s="13"/>
      <c r="K108" s="13"/>
      <c r="L108" s="13"/>
      <c r="M108" s="13"/>
      <c r="N108" s="13"/>
      <c r="O108" s="13"/>
      <c r="P108" s="14"/>
      <c r="Q108" s="13"/>
      <c r="R108" s="13"/>
      <c r="S108" s="14"/>
      <c r="T108" s="14"/>
      <c r="U108" s="14"/>
      <c r="V108" s="14"/>
      <c r="W108" s="14"/>
      <c r="X108" s="13"/>
      <c r="Y108" s="13"/>
      <c r="Z108" s="15"/>
      <c r="AA108" s="13"/>
      <c r="AB108" s="13"/>
      <c r="AC108" s="13"/>
      <c r="AD108" s="14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5"/>
      <c r="AP108" s="15"/>
      <c r="AQ108" s="13"/>
      <c r="AR108" s="15"/>
      <c r="AS108" s="15"/>
      <c r="AT108" s="13"/>
      <c r="AU108" s="13"/>
      <c r="AV108" s="13"/>
      <c r="AW108" s="13"/>
      <c r="AX108" s="13"/>
      <c r="AY108" s="13"/>
    </row>
    <row r="109" spans="1:51" x14ac:dyDescent="0.2">
      <c r="A109" s="13"/>
      <c r="B109" s="14"/>
      <c r="C109" s="13"/>
      <c r="D109" s="13"/>
      <c r="E109" s="14"/>
      <c r="F109" s="13"/>
      <c r="G109" s="14"/>
      <c r="H109" s="13"/>
      <c r="I109" s="13"/>
      <c r="J109" s="13"/>
      <c r="K109" s="13"/>
      <c r="L109" s="13"/>
      <c r="M109" s="13"/>
      <c r="N109" s="13"/>
      <c r="O109" s="13"/>
      <c r="P109" s="14"/>
      <c r="Q109" s="13"/>
      <c r="R109" s="13"/>
      <c r="S109" s="14"/>
      <c r="T109" s="14"/>
      <c r="U109" s="14"/>
      <c r="V109" s="14"/>
      <c r="W109" s="14"/>
      <c r="X109" s="13"/>
      <c r="Y109" s="13"/>
      <c r="Z109" s="15"/>
      <c r="AA109" s="13"/>
      <c r="AB109" s="13"/>
      <c r="AC109" s="13"/>
      <c r="AD109" s="14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5"/>
      <c r="AP109" s="15"/>
      <c r="AQ109" s="13"/>
      <c r="AR109" s="15"/>
      <c r="AS109" s="15"/>
      <c r="AT109" s="13"/>
      <c r="AU109" s="13"/>
      <c r="AV109" s="13"/>
      <c r="AW109" s="13"/>
      <c r="AX109" s="13"/>
      <c r="AY109" s="13"/>
    </row>
    <row r="110" spans="1:51" x14ac:dyDescent="0.2">
      <c r="A110" s="13"/>
      <c r="B110" s="14"/>
      <c r="C110" s="13"/>
      <c r="D110" s="13"/>
      <c r="E110" s="14"/>
      <c r="F110" s="13"/>
      <c r="G110" s="14"/>
      <c r="H110" s="13"/>
      <c r="I110" s="13"/>
      <c r="J110" s="13"/>
      <c r="K110" s="13"/>
      <c r="L110" s="13"/>
      <c r="M110" s="13"/>
      <c r="N110" s="13"/>
      <c r="O110" s="13"/>
      <c r="P110" s="14"/>
      <c r="Q110" s="13"/>
      <c r="R110" s="13"/>
      <c r="S110" s="14"/>
      <c r="T110" s="14"/>
      <c r="U110" s="14"/>
      <c r="V110" s="14"/>
      <c r="W110" s="14"/>
      <c r="X110" s="13"/>
      <c r="Y110" s="13"/>
      <c r="Z110" s="15"/>
      <c r="AA110" s="13"/>
      <c r="AB110" s="13"/>
      <c r="AC110" s="13"/>
      <c r="AD110" s="14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5"/>
      <c r="AP110" s="15"/>
      <c r="AQ110" s="13"/>
      <c r="AR110" s="15"/>
      <c r="AS110" s="15"/>
      <c r="AT110" s="13"/>
      <c r="AU110" s="13"/>
      <c r="AV110" s="13"/>
      <c r="AW110" s="13"/>
      <c r="AX110" s="13"/>
      <c r="AY110" s="13"/>
    </row>
    <row r="111" spans="1:51" x14ac:dyDescent="0.2">
      <c r="A111" s="13"/>
      <c r="B111" s="14"/>
      <c r="C111" s="13"/>
      <c r="D111" s="13"/>
      <c r="E111" s="14"/>
      <c r="F111" s="13"/>
      <c r="G111" s="14"/>
      <c r="H111" s="13"/>
      <c r="I111" s="13"/>
      <c r="J111" s="13"/>
      <c r="K111" s="13"/>
      <c r="L111" s="13"/>
      <c r="M111" s="13"/>
      <c r="N111" s="13"/>
      <c r="O111" s="13"/>
      <c r="P111" s="14"/>
      <c r="Q111" s="13"/>
      <c r="R111" s="13"/>
      <c r="S111" s="14"/>
      <c r="T111" s="14"/>
      <c r="U111" s="14"/>
      <c r="V111" s="14"/>
      <c r="W111" s="14"/>
      <c r="X111" s="13"/>
      <c r="Y111" s="13"/>
      <c r="Z111" s="15"/>
      <c r="AA111" s="13"/>
      <c r="AB111" s="13"/>
      <c r="AC111" s="13"/>
      <c r="AD111" s="14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5"/>
      <c r="AP111" s="15"/>
      <c r="AQ111" s="13"/>
      <c r="AR111" s="15"/>
      <c r="AS111" s="15"/>
      <c r="AT111" s="13"/>
      <c r="AU111" s="13"/>
      <c r="AV111" s="13"/>
      <c r="AW111" s="13"/>
      <c r="AX111" s="13"/>
      <c r="AY111" s="15"/>
    </row>
    <row r="112" spans="1:51" x14ac:dyDescent="0.2">
      <c r="A112" s="13"/>
      <c r="B112" s="14"/>
      <c r="C112" s="13"/>
      <c r="D112" s="13"/>
      <c r="E112" s="14"/>
      <c r="F112" s="13"/>
      <c r="G112" s="14"/>
      <c r="H112" s="13"/>
      <c r="I112" s="13"/>
      <c r="J112" s="13"/>
      <c r="K112" s="13"/>
      <c r="L112" s="13"/>
      <c r="M112" s="13"/>
      <c r="N112" s="13"/>
      <c r="O112" s="13"/>
      <c r="P112" s="14"/>
      <c r="Q112" s="13"/>
      <c r="R112" s="13"/>
      <c r="S112" s="14"/>
      <c r="T112" s="14"/>
      <c r="U112" s="14"/>
      <c r="V112" s="14"/>
      <c r="W112" s="14"/>
      <c r="X112" s="13"/>
      <c r="Y112" s="13"/>
      <c r="Z112" s="15"/>
      <c r="AA112" s="13"/>
      <c r="AB112" s="13"/>
      <c r="AC112" s="13"/>
      <c r="AD112" s="14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5"/>
      <c r="AP112" s="15"/>
      <c r="AQ112" s="13"/>
      <c r="AR112" s="15"/>
      <c r="AS112" s="15"/>
      <c r="AT112" s="13"/>
      <c r="AU112" s="13"/>
      <c r="AV112" s="13"/>
      <c r="AW112" s="13"/>
      <c r="AX112" s="13"/>
      <c r="AY112" s="13"/>
    </row>
    <row r="113" spans="1:51" x14ac:dyDescent="0.2">
      <c r="A113" s="13"/>
      <c r="B113" s="14"/>
      <c r="C113" s="13"/>
      <c r="D113" s="13"/>
      <c r="E113" s="14"/>
      <c r="F113" s="13"/>
      <c r="G113" s="14"/>
      <c r="H113" s="13"/>
      <c r="I113" s="13"/>
      <c r="J113" s="13"/>
      <c r="K113" s="13"/>
      <c r="L113" s="13"/>
      <c r="M113" s="13"/>
      <c r="N113" s="13"/>
      <c r="O113" s="13"/>
      <c r="P113" s="14"/>
      <c r="Q113" s="13"/>
      <c r="R113" s="13"/>
      <c r="S113" s="14"/>
      <c r="T113" s="14"/>
      <c r="U113" s="14"/>
      <c r="V113" s="14"/>
      <c r="W113" s="14"/>
      <c r="X113" s="13"/>
      <c r="Y113" s="13"/>
      <c r="Z113" s="15"/>
      <c r="AA113" s="13"/>
      <c r="AB113" s="13"/>
      <c r="AC113" s="13"/>
      <c r="AD113" s="14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5"/>
      <c r="AP113" s="15"/>
      <c r="AQ113" s="13"/>
      <c r="AR113" s="15"/>
      <c r="AS113" s="15"/>
      <c r="AT113" s="13"/>
      <c r="AU113" s="13"/>
      <c r="AV113" s="13"/>
      <c r="AW113" s="13"/>
      <c r="AX113" s="13"/>
      <c r="AY113" s="13"/>
    </row>
    <row r="114" spans="1:51" x14ac:dyDescent="0.2">
      <c r="A114" s="13"/>
      <c r="B114" s="14"/>
      <c r="C114" s="13"/>
      <c r="D114" s="13"/>
      <c r="E114" s="14"/>
      <c r="F114" s="13"/>
      <c r="G114" s="14"/>
      <c r="H114" s="13"/>
      <c r="I114" s="13"/>
      <c r="J114" s="13"/>
      <c r="K114" s="13"/>
      <c r="L114" s="13"/>
      <c r="M114" s="13"/>
      <c r="N114" s="13"/>
      <c r="O114" s="13"/>
      <c r="P114" s="14"/>
      <c r="Q114" s="13"/>
      <c r="R114" s="13"/>
      <c r="S114" s="14"/>
      <c r="T114" s="14"/>
      <c r="U114" s="14"/>
      <c r="V114" s="14"/>
      <c r="W114" s="14"/>
      <c r="X114" s="13"/>
      <c r="Y114" s="13"/>
      <c r="Z114" s="15"/>
      <c r="AA114" s="13"/>
      <c r="AB114" s="13"/>
      <c r="AC114" s="13"/>
      <c r="AD114" s="14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5"/>
      <c r="AP114" s="15"/>
      <c r="AQ114" s="13"/>
      <c r="AR114" s="15"/>
      <c r="AS114" s="15"/>
      <c r="AT114" s="13"/>
      <c r="AU114" s="13"/>
      <c r="AV114" s="13"/>
      <c r="AW114" s="13"/>
      <c r="AX114" s="13"/>
      <c r="AY114" s="13"/>
    </row>
    <row r="115" spans="1:51" x14ac:dyDescent="0.2">
      <c r="A115" s="13"/>
      <c r="B115" s="14"/>
      <c r="C115" s="13"/>
      <c r="D115" s="13"/>
      <c r="E115" s="14"/>
      <c r="F115" s="13"/>
      <c r="G115" s="14"/>
      <c r="H115" s="13"/>
      <c r="I115" s="13"/>
      <c r="J115" s="13"/>
      <c r="K115" s="13"/>
      <c r="L115" s="13"/>
      <c r="M115" s="13"/>
      <c r="N115" s="13"/>
      <c r="O115" s="13"/>
      <c r="P115" s="14"/>
      <c r="Q115" s="13"/>
      <c r="R115" s="13"/>
      <c r="S115" s="14"/>
      <c r="T115" s="14"/>
      <c r="U115" s="14"/>
      <c r="V115" s="14"/>
      <c r="W115" s="14"/>
      <c r="X115" s="13"/>
      <c r="Y115" s="13"/>
      <c r="Z115" s="15"/>
      <c r="AA115" s="13"/>
      <c r="AB115" s="13"/>
      <c r="AC115" s="13"/>
      <c r="AD115" s="14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5"/>
      <c r="AP115" s="15"/>
      <c r="AQ115" s="13"/>
      <c r="AR115" s="15"/>
      <c r="AS115" s="15"/>
      <c r="AT115" s="13"/>
      <c r="AU115" s="13"/>
      <c r="AV115" s="13"/>
      <c r="AW115" s="13"/>
      <c r="AX115" s="13"/>
      <c r="AY115" s="13"/>
    </row>
    <row r="116" spans="1:51" x14ac:dyDescent="0.2">
      <c r="A116" s="13"/>
      <c r="B116" s="14"/>
      <c r="C116" s="13"/>
      <c r="D116" s="13"/>
      <c r="E116" s="14"/>
      <c r="F116" s="13"/>
      <c r="G116" s="14"/>
      <c r="H116" s="13"/>
      <c r="I116" s="13"/>
      <c r="J116" s="13"/>
      <c r="K116" s="13"/>
      <c r="L116" s="13"/>
      <c r="M116" s="13"/>
      <c r="N116" s="13"/>
      <c r="O116" s="13"/>
      <c r="P116" s="14"/>
      <c r="Q116" s="13"/>
      <c r="R116" s="13"/>
      <c r="S116" s="14"/>
      <c r="T116" s="14"/>
      <c r="U116" s="14"/>
      <c r="V116" s="14"/>
      <c r="W116" s="14"/>
      <c r="X116" s="13"/>
      <c r="Y116" s="13"/>
      <c r="Z116" s="15"/>
      <c r="AA116" s="13"/>
      <c r="AB116" s="13"/>
      <c r="AC116" s="13"/>
      <c r="AD116" s="14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5"/>
      <c r="AP116" s="15"/>
      <c r="AQ116" s="13"/>
      <c r="AR116" s="15"/>
      <c r="AS116" s="15"/>
      <c r="AT116" s="13"/>
      <c r="AU116" s="13"/>
      <c r="AV116" s="13"/>
      <c r="AW116" s="13"/>
      <c r="AX116" s="13"/>
      <c r="AY116" s="13"/>
    </row>
    <row r="117" spans="1:51" x14ac:dyDescent="0.2">
      <c r="A117" s="13"/>
      <c r="B117" s="14"/>
      <c r="C117" s="13"/>
      <c r="D117" s="13"/>
      <c r="E117" s="14"/>
      <c r="F117" s="13"/>
      <c r="G117" s="14"/>
      <c r="H117" s="13"/>
      <c r="I117" s="13"/>
      <c r="J117" s="13"/>
      <c r="K117" s="13"/>
      <c r="L117" s="13"/>
      <c r="M117" s="13"/>
      <c r="N117" s="13"/>
      <c r="O117" s="13"/>
      <c r="P117" s="14"/>
      <c r="Q117" s="13"/>
      <c r="R117" s="13"/>
      <c r="S117" s="14"/>
      <c r="T117" s="14"/>
      <c r="U117" s="14"/>
      <c r="V117" s="14"/>
      <c r="W117" s="14"/>
      <c r="X117" s="13"/>
      <c r="Y117" s="13"/>
      <c r="Z117" s="15"/>
      <c r="AA117" s="13"/>
      <c r="AB117" s="13"/>
      <c r="AC117" s="13"/>
      <c r="AD117" s="14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5"/>
      <c r="AP117" s="15"/>
      <c r="AQ117" s="13"/>
      <c r="AR117" s="15"/>
      <c r="AS117" s="15"/>
      <c r="AT117" s="13"/>
      <c r="AU117" s="13"/>
      <c r="AV117" s="13"/>
      <c r="AW117" s="13"/>
      <c r="AX117" s="13"/>
      <c r="AY117" s="15"/>
    </row>
    <row r="118" spans="1:51" x14ac:dyDescent="0.2">
      <c r="A118" s="13"/>
      <c r="B118" s="14"/>
      <c r="C118" s="13"/>
      <c r="D118" s="13"/>
      <c r="E118" s="14"/>
      <c r="F118" s="13"/>
      <c r="G118" s="14"/>
      <c r="H118" s="13"/>
      <c r="I118" s="13"/>
      <c r="J118" s="13"/>
      <c r="K118" s="13"/>
      <c r="L118" s="13"/>
      <c r="M118" s="13"/>
      <c r="N118" s="13"/>
      <c r="O118" s="13"/>
      <c r="P118" s="14"/>
      <c r="Q118" s="13"/>
      <c r="R118" s="13"/>
      <c r="S118" s="14"/>
      <c r="T118" s="14"/>
      <c r="U118" s="14"/>
      <c r="V118" s="14"/>
      <c r="W118" s="14"/>
      <c r="X118" s="13"/>
      <c r="Y118" s="13"/>
      <c r="Z118" s="15"/>
      <c r="AA118" s="13"/>
      <c r="AB118" s="13"/>
      <c r="AC118" s="13"/>
      <c r="AD118" s="14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5"/>
      <c r="AP118" s="15"/>
      <c r="AQ118" s="13"/>
      <c r="AR118" s="15"/>
      <c r="AS118" s="15"/>
      <c r="AT118" s="13"/>
      <c r="AU118" s="13"/>
      <c r="AV118" s="13"/>
      <c r="AW118" s="13"/>
      <c r="AX118" s="13"/>
      <c r="AY118" s="13"/>
    </row>
    <row r="119" spans="1:51" x14ac:dyDescent="0.2">
      <c r="A119" s="13"/>
      <c r="B119" s="14"/>
      <c r="C119" s="13"/>
      <c r="D119" s="13"/>
      <c r="E119" s="14"/>
      <c r="F119" s="13"/>
      <c r="G119" s="14"/>
      <c r="H119" s="13"/>
      <c r="I119" s="13"/>
      <c r="J119" s="13"/>
      <c r="K119" s="13"/>
      <c r="L119" s="13"/>
      <c r="M119" s="13"/>
      <c r="N119" s="13"/>
      <c r="O119" s="13"/>
      <c r="P119" s="14"/>
      <c r="Q119" s="13"/>
      <c r="R119" s="13"/>
      <c r="S119" s="14"/>
      <c r="T119" s="14"/>
      <c r="U119" s="14"/>
      <c r="V119" s="14"/>
      <c r="W119" s="14"/>
      <c r="X119" s="13"/>
      <c r="Y119" s="13"/>
      <c r="Z119" s="15"/>
      <c r="AA119" s="13"/>
      <c r="AB119" s="13"/>
      <c r="AC119" s="13"/>
      <c r="AD119" s="14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5"/>
      <c r="AP119" s="15"/>
      <c r="AQ119" s="13"/>
      <c r="AR119" s="15"/>
      <c r="AS119" s="15"/>
      <c r="AT119" s="13"/>
      <c r="AU119" s="13"/>
      <c r="AV119" s="13"/>
      <c r="AW119" s="13"/>
      <c r="AX119" s="13"/>
      <c r="AY119" s="13"/>
    </row>
    <row r="120" spans="1:51" x14ac:dyDescent="0.2">
      <c r="A120" s="13"/>
      <c r="B120" s="14"/>
      <c r="C120" s="13"/>
      <c r="D120" s="13"/>
      <c r="E120" s="14"/>
      <c r="F120" s="13"/>
      <c r="G120" s="14"/>
      <c r="H120" s="13"/>
      <c r="I120" s="13"/>
      <c r="J120" s="13"/>
      <c r="K120" s="13"/>
      <c r="L120" s="13"/>
      <c r="M120" s="13"/>
      <c r="N120" s="13"/>
      <c r="O120" s="13"/>
      <c r="P120" s="14"/>
      <c r="Q120" s="13"/>
      <c r="R120" s="13"/>
      <c r="S120" s="14"/>
      <c r="T120" s="14"/>
      <c r="U120" s="14"/>
      <c r="V120" s="14"/>
      <c r="W120" s="14"/>
      <c r="X120" s="13"/>
      <c r="Y120" s="13"/>
      <c r="Z120" s="15"/>
      <c r="AA120" s="13"/>
      <c r="AB120" s="13"/>
      <c r="AC120" s="13"/>
      <c r="AD120" s="14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5"/>
      <c r="AP120" s="15"/>
      <c r="AQ120" s="13"/>
      <c r="AR120" s="15"/>
      <c r="AS120" s="15"/>
      <c r="AT120" s="13"/>
      <c r="AU120" s="13"/>
      <c r="AV120" s="13"/>
      <c r="AW120" s="13"/>
      <c r="AX120" s="13"/>
      <c r="AY120" s="13"/>
    </row>
    <row r="121" spans="1:51" x14ac:dyDescent="0.2">
      <c r="A121" s="13"/>
      <c r="B121" s="14"/>
      <c r="C121" s="13"/>
      <c r="D121" s="13"/>
      <c r="E121" s="14"/>
      <c r="F121" s="13"/>
      <c r="G121" s="14"/>
      <c r="H121" s="13"/>
      <c r="I121" s="13"/>
      <c r="J121" s="13"/>
      <c r="K121" s="13"/>
      <c r="L121" s="13"/>
      <c r="M121" s="13"/>
      <c r="N121" s="13"/>
      <c r="O121" s="13"/>
      <c r="P121" s="14"/>
      <c r="Q121" s="13"/>
      <c r="R121" s="13"/>
      <c r="S121" s="14"/>
      <c r="T121" s="14"/>
      <c r="U121" s="14"/>
      <c r="V121" s="14"/>
      <c r="W121" s="14"/>
      <c r="X121" s="13"/>
      <c r="Y121" s="13"/>
      <c r="Z121" s="15"/>
      <c r="AA121" s="13"/>
      <c r="AB121" s="13"/>
      <c r="AC121" s="13"/>
      <c r="AD121" s="14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5"/>
      <c r="AP121" s="15"/>
      <c r="AQ121" s="13"/>
      <c r="AR121" s="15"/>
      <c r="AS121" s="15"/>
      <c r="AT121" s="13"/>
      <c r="AU121" s="13"/>
      <c r="AV121" s="13"/>
      <c r="AW121" s="13"/>
      <c r="AX121" s="13"/>
      <c r="AY121" s="13"/>
    </row>
    <row r="122" spans="1:51" x14ac:dyDescent="0.2">
      <c r="A122" s="13"/>
      <c r="B122" s="14"/>
      <c r="C122" s="13"/>
      <c r="D122" s="13"/>
      <c r="E122" s="14"/>
      <c r="F122" s="13"/>
      <c r="G122" s="14"/>
      <c r="H122" s="13"/>
      <c r="I122" s="13"/>
      <c r="J122" s="13"/>
      <c r="K122" s="13"/>
      <c r="L122" s="13"/>
      <c r="M122" s="13"/>
      <c r="N122" s="13"/>
      <c r="O122" s="13"/>
      <c r="P122" s="14"/>
      <c r="Q122" s="13"/>
      <c r="R122" s="13"/>
      <c r="S122" s="14"/>
      <c r="T122" s="14"/>
      <c r="U122" s="14"/>
      <c r="V122" s="14"/>
      <c r="W122" s="14"/>
      <c r="X122" s="13"/>
      <c r="Y122" s="13"/>
      <c r="Z122" s="15"/>
      <c r="AA122" s="13"/>
      <c r="AB122" s="13"/>
      <c r="AC122" s="13"/>
      <c r="AD122" s="14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5"/>
      <c r="AP122" s="15"/>
      <c r="AQ122" s="13"/>
      <c r="AR122" s="15"/>
      <c r="AS122" s="15"/>
      <c r="AT122" s="13"/>
      <c r="AU122" s="13"/>
      <c r="AV122" s="13"/>
      <c r="AW122" s="13"/>
      <c r="AX122" s="13"/>
      <c r="AY122" s="13"/>
    </row>
    <row r="123" spans="1:51" x14ac:dyDescent="0.2">
      <c r="A123" s="13"/>
      <c r="B123" s="14"/>
      <c r="C123" s="13"/>
      <c r="D123" s="13"/>
      <c r="E123" s="14"/>
      <c r="F123" s="13"/>
      <c r="G123" s="14"/>
      <c r="H123" s="13"/>
      <c r="I123" s="13"/>
      <c r="J123" s="13"/>
      <c r="K123" s="13"/>
      <c r="L123" s="13"/>
      <c r="M123" s="13"/>
      <c r="N123" s="13"/>
      <c r="O123" s="13"/>
      <c r="P123" s="14"/>
      <c r="Q123" s="13"/>
      <c r="R123" s="13"/>
      <c r="S123" s="14"/>
      <c r="T123" s="14"/>
      <c r="U123" s="14"/>
      <c r="V123" s="14"/>
      <c r="W123" s="14"/>
      <c r="X123" s="13"/>
      <c r="Y123" s="13"/>
      <c r="Z123" s="15"/>
      <c r="AA123" s="13"/>
      <c r="AB123" s="13"/>
      <c r="AC123" s="13"/>
      <c r="AD123" s="14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5"/>
      <c r="AP123" s="15"/>
      <c r="AQ123" s="13"/>
      <c r="AR123" s="15"/>
      <c r="AS123" s="15"/>
      <c r="AT123" s="13"/>
      <c r="AU123" s="13"/>
      <c r="AV123" s="13"/>
      <c r="AW123" s="13"/>
      <c r="AX123" s="13"/>
      <c r="AY123" s="15"/>
    </row>
    <row r="124" spans="1:51" x14ac:dyDescent="0.2">
      <c r="A124" s="13"/>
      <c r="B124" s="14"/>
      <c r="C124" s="13"/>
      <c r="D124" s="13"/>
      <c r="E124" s="14"/>
      <c r="F124" s="13"/>
      <c r="G124" s="14"/>
      <c r="H124" s="13"/>
      <c r="I124" s="13"/>
      <c r="J124" s="13"/>
      <c r="K124" s="13"/>
      <c r="L124" s="13"/>
      <c r="M124" s="13"/>
      <c r="N124" s="13"/>
      <c r="O124" s="13"/>
      <c r="P124" s="14"/>
      <c r="Q124" s="13"/>
      <c r="R124" s="13"/>
      <c r="S124" s="14"/>
      <c r="T124" s="14"/>
      <c r="U124" s="14"/>
      <c r="V124" s="14"/>
      <c r="W124" s="14"/>
      <c r="X124" s="13"/>
      <c r="Y124" s="13"/>
      <c r="Z124" s="15"/>
      <c r="AA124" s="13"/>
      <c r="AB124" s="13"/>
      <c r="AC124" s="13"/>
      <c r="AD124" s="14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5"/>
      <c r="AP124" s="15"/>
      <c r="AQ124" s="13"/>
      <c r="AR124" s="15"/>
      <c r="AS124" s="15"/>
      <c r="AT124" s="13"/>
      <c r="AU124" s="13"/>
      <c r="AV124" s="13"/>
      <c r="AW124" s="13"/>
      <c r="AX124" s="13"/>
      <c r="AY124" s="15"/>
    </row>
    <row r="125" spans="1:51" x14ac:dyDescent="0.2">
      <c r="A125" s="13"/>
      <c r="B125" s="14"/>
      <c r="C125" s="13"/>
      <c r="D125" s="13"/>
      <c r="E125" s="14"/>
      <c r="F125" s="13"/>
      <c r="G125" s="14"/>
      <c r="H125" s="13"/>
      <c r="I125" s="13"/>
      <c r="J125" s="13"/>
      <c r="K125" s="13"/>
      <c r="L125" s="13"/>
      <c r="M125" s="13"/>
      <c r="N125" s="13"/>
      <c r="O125" s="13"/>
      <c r="P125" s="14"/>
      <c r="Q125" s="13"/>
      <c r="R125" s="13"/>
      <c r="S125" s="14"/>
      <c r="T125" s="14"/>
      <c r="U125" s="14"/>
      <c r="V125" s="14"/>
      <c r="W125" s="14"/>
      <c r="X125" s="13"/>
      <c r="Y125" s="13"/>
      <c r="Z125" s="15"/>
      <c r="AA125" s="13"/>
      <c r="AB125" s="13"/>
      <c r="AC125" s="13"/>
      <c r="AD125" s="14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5"/>
      <c r="AP125" s="15"/>
      <c r="AQ125" s="13"/>
      <c r="AR125" s="15"/>
      <c r="AS125" s="15"/>
      <c r="AT125" s="13"/>
      <c r="AU125" s="13"/>
      <c r="AV125" s="13"/>
      <c r="AW125" s="13"/>
      <c r="AX125" s="13"/>
      <c r="AY125" s="13"/>
    </row>
    <row r="126" spans="1:51" x14ac:dyDescent="0.2">
      <c r="A126" s="13"/>
      <c r="B126" s="14"/>
      <c r="C126" s="13"/>
      <c r="D126" s="13"/>
      <c r="E126" s="14"/>
      <c r="F126" s="13"/>
      <c r="G126" s="14"/>
      <c r="H126" s="13"/>
      <c r="I126" s="13"/>
      <c r="J126" s="13"/>
      <c r="K126" s="13"/>
      <c r="L126" s="13"/>
      <c r="M126" s="13"/>
      <c r="N126" s="13"/>
      <c r="O126" s="13"/>
      <c r="P126" s="14"/>
      <c r="Q126" s="13"/>
      <c r="R126" s="13"/>
      <c r="S126" s="14"/>
      <c r="T126" s="14"/>
      <c r="U126" s="14"/>
      <c r="V126" s="14"/>
      <c r="W126" s="14"/>
      <c r="X126" s="13"/>
      <c r="Y126" s="13"/>
      <c r="Z126" s="15"/>
      <c r="AA126" s="13"/>
      <c r="AB126" s="13"/>
      <c r="AC126" s="13"/>
      <c r="AD126" s="14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5"/>
      <c r="AP126" s="15"/>
      <c r="AQ126" s="13"/>
      <c r="AR126" s="15"/>
      <c r="AS126" s="15"/>
      <c r="AT126" s="13"/>
      <c r="AU126" s="13"/>
      <c r="AV126" s="13"/>
      <c r="AW126" s="13"/>
      <c r="AX126" s="13"/>
      <c r="AY126" s="15"/>
    </row>
    <row r="127" spans="1:51" x14ac:dyDescent="0.2">
      <c r="A127" s="13"/>
      <c r="B127" s="14"/>
      <c r="C127" s="13"/>
      <c r="D127" s="13"/>
      <c r="E127" s="14"/>
      <c r="F127" s="13"/>
      <c r="G127" s="14"/>
      <c r="H127" s="13"/>
      <c r="I127" s="13"/>
      <c r="J127" s="13"/>
      <c r="K127" s="13"/>
      <c r="L127" s="13"/>
      <c r="M127" s="13"/>
      <c r="N127" s="13"/>
      <c r="O127" s="13"/>
      <c r="P127" s="14"/>
      <c r="Q127" s="13"/>
      <c r="R127" s="13"/>
      <c r="S127" s="14"/>
      <c r="T127" s="14"/>
      <c r="U127" s="14"/>
      <c r="V127" s="14"/>
      <c r="W127" s="14"/>
      <c r="X127" s="13"/>
      <c r="Y127" s="13"/>
      <c r="Z127" s="15"/>
      <c r="AA127" s="13"/>
      <c r="AB127" s="13"/>
      <c r="AC127" s="13"/>
      <c r="AD127" s="14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5"/>
      <c r="AP127" s="15"/>
      <c r="AQ127" s="13"/>
      <c r="AR127" s="15"/>
      <c r="AS127" s="15"/>
      <c r="AT127" s="13"/>
      <c r="AU127" s="13"/>
      <c r="AV127" s="13"/>
      <c r="AW127" s="13"/>
      <c r="AX127" s="13"/>
      <c r="AY127" s="15"/>
    </row>
    <row r="128" spans="1:51" x14ac:dyDescent="0.2">
      <c r="A128" s="13"/>
      <c r="B128" s="14"/>
      <c r="C128" s="13"/>
      <c r="D128" s="13"/>
      <c r="E128" s="14"/>
      <c r="F128" s="13"/>
      <c r="G128" s="14"/>
      <c r="H128" s="13"/>
      <c r="I128" s="13"/>
      <c r="J128" s="13"/>
      <c r="K128" s="13"/>
      <c r="L128" s="13"/>
      <c r="M128" s="13"/>
      <c r="N128" s="13"/>
      <c r="O128" s="13"/>
      <c r="P128" s="14"/>
      <c r="Q128" s="13"/>
      <c r="R128" s="13"/>
      <c r="S128" s="14"/>
      <c r="T128" s="14"/>
      <c r="U128" s="14"/>
      <c r="V128" s="14"/>
      <c r="W128" s="14"/>
      <c r="X128" s="13"/>
      <c r="Y128" s="13"/>
      <c r="Z128" s="15"/>
      <c r="AA128" s="13"/>
      <c r="AB128" s="13"/>
      <c r="AC128" s="13"/>
      <c r="AD128" s="14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5"/>
      <c r="AP128" s="15"/>
      <c r="AQ128" s="13"/>
      <c r="AR128" s="15"/>
      <c r="AS128" s="15"/>
      <c r="AT128" s="13"/>
      <c r="AU128" s="13"/>
      <c r="AV128" s="13"/>
      <c r="AW128" s="13"/>
      <c r="AX128" s="13"/>
      <c r="AY128" s="13"/>
    </row>
    <row r="129" spans="1:51" x14ac:dyDescent="0.2">
      <c r="A129" s="13"/>
      <c r="B129" s="14"/>
      <c r="C129" s="13"/>
      <c r="D129" s="13"/>
      <c r="E129" s="14"/>
      <c r="F129" s="13"/>
      <c r="G129" s="14"/>
      <c r="H129" s="13"/>
      <c r="I129" s="13"/>
      <c r="J129" s="13"/>
      <c r="K129" s="13"/>
      <c r="L129" s="13"/>
      <c r="M129" s="13"/>
      <c r="N129" s="13"/>
      <c r="O129" s="13"/>
      <c r="P129" s="14"/>
      <c r="Q129" s="13"/>
      <c r="R129" s="13"/>
      <c r="S129" s="14"/>
      <c r="T129" s="14"/>
      <c r="U129" s="14"/>
      <c r="V129" s="14"/>
      <c r="W129" s="14"/>
      <c r="X129" s="13"/>
      <c r="Y129" s="13"/>
      <c r="Z129" s="15"/>
      <c r="AA129" s="13"/>
      <c r="AB129" s="13"/>
      <c r="AC129" s="13"/>
      <c r="AD129" s="14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5"/>
      <c r="AP129" s="15"/>
      <c r="AQ129" s="13"/>
      <c r="AR129" s="15"/>
      <c r="AS129" s="15"/>
      <c r="AT129" s="13"/>
      <c r="AU129" s="13"/>
      <c r="AV129" s="13"/>
      <c r="AW129" s="13"/>
      <c r="AX129" s="13"/>
      <c r="AY129" s="13"/>
    </row>
    <row r="130" spans="1:51" x14ac:dyDescent="0.2">
      <c r="A130" s="13"/>
      <c r="B130" s="14"/>
      <c r="C130" s="13"/>
      <c r="D130" s="13"/>
      <c r="E130" s="14"/>
      <c r="F130" s="13"/>
      <c r="G130" s="14"/>
      <c r="H130" s="13"/>
      <c r="I130" s="13"/>
      <c r="J130" s="13"/>
      <c r="K130" s="13"/>
      <c r="L130" s="13"/>
      <c r="M130" s="13"/>
      <c r="N130" s="13"/>
      <c r="O130" s="13"/>
      <c r="P130" s="14"/>
      <c r="Q130" s="13"/>
      <c r="R130" s="13"/>
      <c r="S130" s="14"/>
      <c r="T130" s="14"/>
      <c r="U130" s="14"/>
      <c r="V130" s="14"/>
      <c r="W130" s="14"/>
      <c r="X130" s="13"/>
      <c r="Y130" s="13"/>
      <c r="Z130" s="15"/>
      <c r="AA130" s="13"/>
      <c r="AB130" s="13"/>
      <c r="AC130" s="13"/>
      <c r="AD130" s="14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5"/>
      <c r="AP130" s="15"/>
      <c r="AQ130" s="13"/>
      <c r="AR130" s="15"/>
      <c r="AS130" s="15"/>
      <c r="AT130" s="13"/>
      <c r="AU130" s="13"/>
      <c r="AV130" s="13"/>
      <c r="AW130" s="13"/>
      <c r="AX130" s="13"/>
      <c r="AY130" s="13"/>
    </row>
    <row r="131" spans="1:51" x14ac:dyDescent="0.2">
      <c r="A131" s="13"/>
      <c r="B131" s="14"/>
      <c r="C131" s="13"/>
      <c r="D131" s="13"/>
      <c r="E131" s="14"/>
      <c r="F131" s="13"/>
      <c r="G131" s="14"/>
      <c r="H131" s="13"/>
      <c r="I131" s="13"/>
      <c r="J131" s="13"/>
      <c r="K131" s="13"/>
      <c r="L131" s="13"/>
      <c r="M131" s="13"/>
      <c r="N131" s="13"/>
      <c r="O131" s="13"/>
      <c r="P131" s="14"/>
      <c r="Q131" s="13"/>
      <c r="R131" s="13"/>
      <c r="S131" s="14"/>
      <c r="T131" s="14"/>
      <c r="U131" s="14"/>
      <c r="V131" s="14"/>
      <c r="W131" s="14"/>
      <c r="X131" s="13"/>
      <c r="Y131" s="13"/>
      <c r="Z131" s="15"/>
      <c r="AA131" s="13"/>
      <c r="AB131" s="13"/>
      <c r="AC131" s="13"/>
      <c r="AD131" s="14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5"/>
      <c r="AP131" s="15"/>
      <c r="AQ131" s="13"/>
      <c r="AR131" s="15"/>
      <c r="AS131" s="15"/>
      <c r="AT131" s="13"/>
      <c r="AU131" s="13"/>
      <c r="AV131" s="13"/>
      <c r="AW131" s="13"/>
      <c r="AX131" s="13"/>
      <c r="AY131" s="13"/>
    </row>
    <row r="132" spans="1:51" x14ac:dyDescent="0.2">
      <c r="A132" s="13"/>
      <c r="B132" s="14"/>
      <c r="C132" s="13"/>
      <c r="D132" s="13"/>
      <c r="E132" s="14"/>
      <c r="F132" s="13"/>
      <c r="G132" s="14"/>
      <c r="H132" s="13"/>
      <c r="I132" s="13"/>
      <c r="J132" s="13"/>
      <c r="K132" s="13"/>
      <c r="L132" s="13"/>
      <c r="M132" s="13"/>
      <c r="N132" s="13"/>
      <c r="O132" s="13"/>
      <c r="P132" s="14"/>
      <c r="Q132" s="13"/>
      <c r="R132" s="13"/>
      <c r="S132" s="14"/>
      <c r="T132" s="14"/>
      <c r="U132" s="14"/>
      <c r="V132" s="14"/>
      <c r="W132" s="14"/>
      <c r="X132" s="13"/>
      <c r="Y132" s="13"/>
      <c r="Z132" s="15"/>
      <c r="AA132" s="13"/>
      <c r="AB132" s="13"/>
      <c r="AC132" s="13"/>
      <c r="AD132" s="14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5"/>
      <c r="AP132" s="15"/>
      <c r="AQ132" s="13"/>
      <c r="AR132" s="15"/>
      <c r="AS132" s="15"/>
      <c r="AT132" s="13"/>
      <c r="AU132" s="13"/>
      <c r="AV132" s="13"/>
      <c r="AW132" s="13"/>
      <c r="AX132" s="13"/>
      <c r="AY132" s="13"/>
    </row>
    <row r="133" spans="1:51" x14ac:dyDescent="0.2">
      <c r="A133" s="13"/>
      <c r="B133" s="14"/>
      <c r="C133" s="13"/>
      <c r="D133" s="13"/>
      <c r="E133" s="14"/>
      <c r="F133" s="13"/>
      <c r="G133" s="14"/>
      <c r="H133" s="13"/>
      <c r="I133" s="13"/>
      <c r="J133" s="13"/>
      <c r="K133" s="13"/>
      <c r="L133" s="13"/>
      <c r="M133" s="13"/>
      <c r="N133" s="13"/>
      <c r="O133" s="13"/>
      <c r="P133" s="14"/>
      <c r="Q133" s="13"/>
      <c r="R133" s="13"/>
      <c r="S133" s="14"/>
      <c r="T133" s="14"/>
      <c r="U133" s="14"/>
      <c r="V133" s="14"/>
      <c r="W133" s="14"/>
      <c r="X133" s="13"/>
      <c r="Y133" s="13"/>
      <c r="Z133" s="15"/>
      <c r="AA133" s="13"/>
      <c r="AB133" s="13"/>
      <c r="AC133" s="13"/>
      <c r="AD133" s="14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5"/>
      <c r="AP133" s="15"/>
      <c r="AQ133" s="13"/>
      <c r="AR133" s="15"/>
      <c r="AS133" s="15"/>
      <c r="AT133" s="13"/>
      <c r="AU133" s="13"/>
      <c r="AV133" s="13"/>
      <c r="AW133" s="13"/>
      <c r="AX133" s="13"/>
      <c r="AY133" s="13"/>
    </row>
    <row r="134" spans="1:51" x14ac:dyDescent="0.2">
      <c r="A134" s="13"/>
      <c r="B134" s="14"/>
      <c r="C134" s="13"/>
      <c r="D134" s="13"/>
      <c r="E134" s="14"/>
      <c r="F134" s="13"/>
      <c r="G134" s="14"/>
      <c r="H134" s="13"/>
      <c r="I134" s="13"/>
      <c r="J134" s="13"/>
      <c r="K134" s="13"/>
      <c r="L134" s="13"/>
      <c r="M134" s="13"/>
      <c r="N134" s="13"/>
      <c r="O134" s="13"/>
      <c r="P134" s="14"/>
      <c r="Q134" s="13"/>
      <c r="R134" s="13"/>
      <c r="S134" s="14"/>
      <c r="T134" s="14"/>
      <c r="U134" s="14"/>
      <c r="V134" s="14"/>
      <c r="W134" s="14"/>
      <c r="X134" s="13"/>
      <c r="Y134" s="13"/>
      <c r="Z134" s="15"/>
      <c r="AA134" s="13"/>
      <c r="AB134" s="13"/>
      <c r="AC134" s="13"/>
      <c r="AD134" s="14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5"/>
      <c r="AP134" s="15"/>
      <c r="AQ134" s="13"/>
      <c r="AR134" s="15"/>
      <c r="AS134" s="15"/>
      <c r="AT134" s="13"/>
      <c r="AU134" s="13"/>
      <c r="AV134" s="13"/>
      <c r="AW134" s="13"/>
      <c r="AX134" s="13"/>
      <c r="AY134" s="15"/>
    </row>
    <row r="135" spans="1:51" x14ac:dyDescent="0.2">
      <c r="A135" s="13"/>
      <c r="B135" s="14"/>
      <c r="C135" s="13"/>
      <c r="D135" s="13"/>
      <c r="E135" s="14"/>
      <c r="F135" s="13"/>
      <c r="G135" s="14"/>
      <c r="H135" s="13"/>
      <c r="I135" s="13"/>
      <c r="J135" s="13"/>
      <c r="K135" s="13"/>
      <c r="L135" s="13"/>
      <c r="M135" s="13"/>
      <c r="N135" s="13"/>
      <c r="O135" s="13"/>
      <c r="P135" s="14"/>
      <c r="Q135" s="13"/>
      <c r="R135" s="13"/>
      <c r="S135" s="14"/>
      <c r="T135" s="14"/>
      <c r="U135" s="14"/>
      <c r="V135" s="14"/>
      <c r="W135" s="14"/>
      <c r="X135" s="13"/>
      <c r="Y135" s="13"/>
      <c r="Z135" s="15"/>
      <c r="AA135" s="13"/>
      <c r="AB135" s="13"/>
      <c r="AC135" s="13"/>
      <c r="AD135" s="14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5"/>
      <c r="AP135" s="15"/>
      <c r="AQ135" s="13"/>
      <c r="AR135" s="15"/>
      <c r="AS135" s="15"/>
      <c r="AT135" s="13"/>
      <c r="AU135" s="13"/>
      <c r="AV135" s="13"/>
      <c r="AW135" s="13"/>
      <c r="AX135" s="13"/>
      <c r="AY135" s="13"/>
    </row>
    <row r="136" spans="1:51" x14ac:dyDescent="0.2">
      <c r="A136" s="13"/>
      <c r="B136" s="14"/>
      <c r="C136" s="13"/>
      <c r="D136" s="13"/>
      <c r="E136" s="14"/>
      <c r="F136" s="13"/>
      <c r="G136" s="14"/>
      <c r="H136" s="13"/>
      <c r="I136" s="13"/>
      <c r="J136" s="13"/>
      <c r="K136" s="13"/>
      <c r="L136" s="13"/>
      <c r="M136" s="13"/>
      <c r="N136" s="13"/>
      <c r="O136" s="13"/>
      <c r="P136" s="14"/>
      <c r="Q136" s="13"/>
      <c r="R136" s="13"/>
      <c r="S136" s="14"/>
      <c r="T136" s="14"/>
      <c r="U136" s="14"/>
      <c r="V136" s="14"/>
      <c r="W136" s="14"/>
      <c r="X136" s="13"/>
      <c r="Y136" s="13"/>
      <c r="Z136" s="15"/>
      <c r="AA136" s="13"/>
      <c r="AB136" s="13"/>
      <c r="AC136" s="13"/>
      <c r="AD136" s="14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5"/>
      <c r="AP136" s="15"/>
      <c r="AQ136" s="13"/>
      <c r="AR136" s="15"/>
      <c r="AS136" s="15"/>
      <c r="AT136" s="13"/>
      <c r="AU136" s="13"/>
      <c r="AV136" s="13"/>
      <c r="AW136" s="13"/>
      <c r="AX136" s="13"/>
      <c r="AY136" s="13"/>
    </row>
    <row r="137" spans="1:51" x14ac:dyDescent="0.2">
      <c r="A137" s="13"/>
      <c r="B137" s="14"/>
      <c r="C137" s="13"/>
      <c r="D137" s="13"/>
      <c r="E137" s="14"/>
      <c r="F137" s="13"/>
      <c r="G137" s="14"/>
      <c r="H137" s="13"/>
      <c r="I137" s="13"/>
      <c r="J137" s="13"/>
      <c r="K137" s="13"/>
      <c r="L137" s="13"/>
      <c r="M137" s="13"/>
      <c r="N137" s="13"/>
      <c r="O137" s="13"/>
      <c r="P137" s="14"/>
      <c r="Q137" s="13"/>
      <c r="R137" s="13"/>
      <c r="S137" s="14"/>
      <c r="T137" s="14"/>
      <c r="U137" s="14"/>
      <c r="V137" s="14"/>
      <c r="W137" s="14"/>
      <c r="X137" s="13"/>
      <c r="Y137" s="13"/>
      <c r="Z137" s="15"/>
      <c r="AA137" s="13"/>
      <c r="AB137" s="13"/>
      <c r="AC137" s="13"/>
      <c r="AD137" s="14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5"/>
      <c r="AP137" s="15"/>
      <c r="AQ137" s="13"/>
      <c r="AR137" s="15"/>
      <c r="AS137" s="15"/>
      <c r="AT137" s="13"/>
      <c r="AU137" s="13"/>
      <c r="AV137" s="13"/>
      <c r="AW137" s="13"/>
      <c r="AX137" s="13"/>
      <c r="AY137" s="13"/>
    </row>
    <row r="138" spans="1:51" x14ac:dyDescent="0.2">
      <c r="A138" s="13"/>
      <c r="B138" s="14"/>
      <c r="C138" s="13"/>
      <c r="D138" s="13"/>
      <c r="E138" s="14"/>
      <c r="F138" s="13"/>
      <c r="G138" s="14"/>
      <c r="H138" s="13"/>
      <c r="I138" s="13"/>
      <c r="J138" s="13"/>
      <c r="K138" s="13"/>
      <c r="L138" s="13"/>
      <c r="M138" s="13"/>
      <c r="N138" s="13"/>
      <c r="O138" s="13"/>
      <c r="P138" s="14"/>
      <c r="Q138" s="13"/>
      <c r="R138" s="13"/>
      <c r="S138" s="14"/>
      <c r="T138" s="14"/>
      <c r="U138" s="14"/>
      <c r="V138" s="14"/>
      <c r="W138" s="14"/>
      <c r="X138" s="13"/>
      <c r="Y138" s="13"/>
      <c r="Z138" s="15"/>
      <c r="AA138" s="13"/>
      <c r="AB138" s="13"/>
      <c r="AC138" s="13"/>
      <c r="AD138" s="14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5"/>
      <c r="AP138" s="15"/>
      <c r="AQ138" s="13"/>
      <c r="AR138" s="15"/>
      <c r="AS138" s="15"/>
      <c r="AT138" s="13"/>
      <c r="AU138" s="13"/>
      <c r="AV138" s="13"/>
      <c r="AW138" s="13"/>
      <c r="AX138" s="13"/>
      <c r="AY138" s="13"/>
    </row>
    <row r="139" spans="1:51" x14ac:dyDescent="0.2">
      <c r="A139" s="13"/>
      <c r="B139" s="14"/>
      <c r="C139" s="13"/>
      <c r="D139" s="13"/>
      <c r="E139" s="14"/>
      <c r="F139" s="13"/>
      <c r="G139" s="14"/>
      <c r="H139" s="13"/>
      <c r="I139" s="13"/>
      <c r="J139" s="13"/>
      <c r="K139" s="13"/>
      <c r="L139" s="13"/>
      <c r="M139" s="13"/>
      <c r="N139" s="13"/>
      <c r="O139" s="13"/>
      <c r="P139" s="14"/>
      <c r="Q139" s="13"/>
      <c r="R139" s="13"/>
      <c r="S139" s="14"/>
      <c r="T139" s="14"/>
      <c r="U139" s="14"/>
      <c r="V139" s="14"/>
      <c r="W139" s="14"/>
      <c r="X139" s="13"/>
      <c r="Y139" s="13"/>
      <c r="Z139" s="15"/>
      <c r="AA139" s="13"/>
      <c r="AB139" s="13"/>
      <c r="AC139" s="13"/>
      <c r="AD139" s="14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5"/>
      <c r="AP139" s="15"/>
      <c r="AQ139" s="13"/>
      <c r="AR139" s="15"/>
      <c r="AS139" s="15"/>
      <c r="AT139" s="13"/>
      <c r="AU139" s="13"/>
      <c r="AV139" s="13"/>
      <c r="AW139" s="13"/>
      <c r="AX139" s="13"/>
      <c r="AY139" s="13"/>
    </row>
    <row r="140" spans="1:51" x14ac:dyDescent="0.2">
      <c r="A140" s="13"/>
      <c r="B140" s="14"/>
      <c r="C140" s="13"/>
      <c r="D140" s="13"/>
      <c r="E140" s="14"/>
      <c r="F140" s="13"/>
      <c r="G140" s="14"/>
      <c r="H140" s="13"/>
      <c r="I140" s="13"/>
      <c r="J140" s="13"/>
      <c r="K140" s="13"/>
      <c r="L140" s="13"/>
      <c r="M140" s="13"/>
      <c r="N140" s="13"/>
      <c r="O140" s="13"/>
      <c r="P140" s="14"/>
      <c r="Q140" s="13"/>
      <c r="R140" s="13"/>
      <c r="S140" s="14"/>
      <c r="T140" s="14"/>
      <c r="U140" s="14"/>
      <c r="V140" s="14"/>
      <c r="W140" s="14"/>
      <c r="X140" s="13"/>
      <c r="Y140" s="13"/>
      <c r="Z140" s="15"/>
      <c r="AA140" s="13"/>
      <c r="AB140" s="13"/>
      <c r="AC140" s="13"/>
      <c r="AD140" s="14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5"/>
      <c r="AP140" s="15"/>
      <c r="AQ140" s="13"/>
      <c r="AR140" s="15"/>
      <c r="AS140" s="15"/>
      <c r="AT140" s="13"/>
      <c r="AU140" s="13"/>
      <c r="AV140" s="13"/>
      <c r="AW140" s="13"/>
      <c r="AX140" s="13"/>
      <c r="AY140" s="13"/>
    </row>
    <row r="141" spans="1:51" x14ac:dyDescent="0.2">
      <c r="A141" s="13"/>
      <c r="B141" s="14"/>
      <c r="C141" s="13"/>
      <c r="D141" s="13"/>
      <c r="E141" s="14"/>
      <c r="F141" s="13"/>
      <c r="G141" s="14"/>
      <c r="H141" s="13"/>
      <c r="I141" s="13"/>
      <c r="J141" s="13"/>
      <c r="K141" s="13"/>
      <c r="L141" s="13"/>
      <c r="M141" s="13"/>
      <c r="N141" s="13"/>
      <c r="O141" s="13"/>
      <c r="P141" s="14"/>
      <c r="Q141" s="13"/>
      <c r="R141" s="13"/>
      <c r="S141" s="14"/>
      <c r="T141" s="14"/>
      <c r="U141" s="14"/>
      <c r="V141" s="14"/>
      <c r="W141" s="14"/>
      <c r="X141" s="13"/>
      <c r="Y141" s="13"/>
      <c r="Z141" s="15"/>
      <c r="AA141" s="13"/>
      <c r="AB141" s="13"/>
      <c r="AC141" s="13"/>
      <c r="AD141" s="14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5"/>
      <c r="AP141" s="15"/>
      <c r="AQ141" s="13"/>
      <c r="AR141" s="15"/>
      <c r="AS141" s="15"/>
      <c r="AT141" s="13"/>
      <c r="AU141" s="13"/>
      <c r="AV141" s="13"/>
      <c r="AW141" s="13"/>
      <c r="AX141" s="13"/>
      <c r="AY141" s="15"/>
    </row>
    <row r="142" spans="1:51" x14ac:dyDescent="0.2">
      <c r="A142" s="13"/>
      <c r="B142" s="14"/>
      <c r="C142" s="13"/>
      <c r="D142" s="13"/>
      <c r="E142" s="14"/>
      <c r="F142" s="13"/>
      <c r="G142" s="14"/>
      <c r="H142" s="13"/>
      <c r="I142" s="13"/>
      <c r="J142" s="13"/>
      <c r="K142" s="13"/>
      <c r="L142" s="13"/>
      <c r="M142" s="13"/>
      <c r="N142" s="13"/>
      <c r="O142" s="13"/>
      <c r="P142" s="14"/>
      <c r="Q142" s="13"/>
      <c r="R142" s="13"/>
      <c r="S142" s="14"/>
      <c r="T142" s="14"/>
      <c r="U142" s="14"/>
      <c r="V142" s="14"/>
      <c r="W142" s="14"/>
      <c r="X142" s="13"/>
      <c r="Y142" s="13"/>
      <c r="Z142" s="15"/>
      <c r="AA142" s="13"/>
      <c r="AB142" s="13"/>
      <c r="AC142" s="13"/>
      <c r="AD142" s="14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5"/>
      <c r="AP142" s="15"/>
      <c r="AQ142" s="13"/>
      <c r="AR142" s="15"/>
      <c r="AS142" s="15"/>
      <c r="AT142" s="13"/>
      <c r="AU142" s="13"/>
      <c r="AV142" s="13"/>
      <c r="AW142" s="13"/>
      <c r="AX142" s="13"/>
      <c r="AY142" s="13"/>
    </row>
    <row r="143" spans="1:51" x14ac:dyDescent="0.2">
      <c r="A143" s="13"/>
      <c r="B143" s="14"/>
      <c r="C143" s="13"/>
      <c r="D143" s="13"/>
      <c r="E143" s="14"/>
      <c r="F143" s="13"/>
      <c r="G143" s="14"/>
      <c r="H143" s="13"/>
      <c r="I143" s="13"/>
      <c r="J143" s="13"/>
      <c r="K143" s="13"/>
      <c r="L143" s="13"/>
      <c r="M143" s="13"/>
      <c r="N143" s="13"/>
      <c r="O143" s="13"/>
      <c r="P143" s="14"/>
      <c r="Q143" s="13"/>
      <c r="R143" s="13"/>
      <c r="S143" s="14"/>
      <c r="T143" s="14"/>
      <c r="U143" s="14"/>
      <c r="V143" s="14"/>
      <c r="W143" s="14"/>
      <c r="X143" s="13"/>
      <c r="Y143" s="13"/>
      <c r="Z143" s="15"/>
      <c r="AA143" s="13"/>
      <c r="AB143" s="13"/>
      <c r="AC143" s="13"/>
      <c r="AD143" s="14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5"/>
      <c r="AP143" s="15"/>
      <c r="AQ143" s="13"/>
      <c r="AR143" s="15"/>
      <c r="AS143" s="15"/>
      <c r="AT143" s="13"/>
      <c r="AU143" s="13"/>
      <c r="AV143" s="13"/>
      <c r="AW143" s="13"/>
      <c r="AX143" s="13"/>
      <c r="AY143" s="13"/>
    </row>
    <row r="144" spans="1:51" x14ac:dyDescent="0.2">
      <c r="A144" s="13"/>
      <c r="B144" s="14"/>
      <c r="C144" s="13"/>
      <c r="D144" s="13"/>
      <c r="E144" s="14"/>
      <c r="F144" s="13"/>
      <c r="G144" s="14"/>
      <c r="H144" s="13"/>
      <c r="I144" s="13"/>
      <c r="J144" s="13"/>
      <c r="K144" s="13"/>
      <c r="L144" s="13"/>
      <c r="M144" s="13"/>
      <c r="N144" s="13"/>
      <c r="O144" s="13"/>
      <c r="P144" s="14"/>
      <c r="Q144" s="13"/>
      <c r="R144" s="13"/>
      <c r="S144" s="14"/>
      <c r="T144" s="14"/>
      <c r="U144" s="14"/>
      <c r="V144" s="14"/>
      <c r="W144" s="14"/>
      <c r="X144" s="13"/>
      <c r="Y144" s="13"/>
      <c r="Z144" s="15"/>
      <c r="AA144" s="13"/>
      <c r="AB144" s="13"/>
      <c r="AC144" s="13"/>
      <c r="AD144" s="14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5"/>
      <c r="AP144" s="15"/>
      <c r="AQ144" s="13"/>
      <c r="AR144" s="15"/>
      <c r="AS144" s="15"/>
      <c r="AT144" s="13"/>
      <c r="AU144" s="13"/>
      <c r="AV144" s="13"/>
      <c r="AW144" s="13"/>
      <c r="AX144" s="13"/>
      <c r="AY144" s="15"/>
    </row>
    <row r="145" spans="1:51" x14ac:dyDescent="0.2">
      <c r="A145" s="13"/>
      <c r="B145" s="14"/>
      <c r="C145" s="13"/>
      <c r="D145" s="13"/>
      <c r="E145" s="14"/>
      <c r="F145" s="13"/>
      <c r="G145" s="14"/>
      <c r="H145" s="13"/>
      <c r="I145" s="13"/>
      <c r="J145" s="13"/>
      <c r="K145" s="13"/>
      <c r="L145" s="13"/>
      <c r="M145" s="13"/>
      <c r="N145" s="13"/>
      <c r="O145" s="13"/>
      <c r="P145" s="14"/>
      <c r="Q145" s="13"/>
      <c r="R145" s="13"/>
      <c r="S145" s="14"/>
      <c r="T145" s="14"/>
      <c r="U145" s="14"/>
      <c r="V145" s="14"/>
      <c r="W145" s="14"/>
      <c r="X145" s="13"/>
      <c r="Y145" s="13"/>
      <c r="Z145" s="15"/>
      <c r="AA145" s="13"/>
      <c r="AB145" s="13"/>
      <c r="AC145" s="13"/>
      <c r="AD145" s="14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5"/>
      <c r="AP145" s="15"/>
      <c r="AQ145" s="13"/>
      <c r="AR145" s="15"/>
      <c r="AS145" s="15"/>
      <c r="AT145" s="13"/>
      <c r="AU145" s="13"/>
      <c r="AV145" s="13"/>
      <c r="AW145" s="13"/>
      <c r="AX145" s="13"/>
      <c r="AY145" s="13"/>
    </row>
    <row r="146" spans="1:51" x14ac:dyDescent="0.2">
      <c r="A146" s="13"/>
      <c r="B146" s="14"/>
      <c r="C146" s="13"/>
      <c r="D146" s="13"/>
      <c r="E146" s="14"/>
      <c r="F146" s="13"/>
      <c r="G146" s="14"/>
      <c r="H146" s="13"/>
      <c r="I146" s="13"/>
      <c r="J146" s="13"/>
      <c r="K146" s="13"/>
      <c r="L146" s="13"/>
      <c r="M146" s="13"/>
      <c r="N146" s="13"/>
      <c r="O146" s="13"/>
      <c r="P146" s="14"/>
      <c r="Q146" s="13"/>
      <c r="R146" s="13"/>
      <c r="S146" s="14"/>
      <c r="T146" s="14"/>
      <c r="U146" s="14"/>
      <c r="V146" s="14"/>
      <c r="W146" s="14"/>
      <c r="X146" s="13"/>
      <c r="Y146" s="13"/>
      <c r="Z146" s="15"/>
      <c r="AA146" s="13"/>
      <c r="AB146" s="13"/>
      <c r="AC146" s="13"/>
      <c r="AD146" s="14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5"/>
      <c r="AP146" s="15"/>
      <c r="AQ146" s="13"/>
      <c r="AR146" s="15"/>
      <c r="AS146" s="15"/>
      <c r="AT146" s="13"/>
      <c r="AU146" s="13"/>
      <c r="AV146" s="13"/>
      <c r="AW146" s="13"/>
      <c r="AX146" s="13"/>
      <c r="AY146" s="15"/>
    </row>
    <row r="147" spans="1:51" x14ac:dyDescent="0.2">
      <c r="A147" s="13"/>
      <c r="B147" s="14"/>
      <c r="C147" s="13"/>
      <c r="D147" s="13"/>
      <c r="E147" s="14"/>
      <c r="F147" s="13"/>
      <c r="G147" s="14"/>
      <c r="H147" s="13"/>
      <c r="I147" s="13"/>
      <c r="J147" s="13"/>
      <c r="K147" s="13"/>
      <c r="L147" s="13"/>
      <c r="M147" s="13"/>
      <c r="N147" s="13"/>
      <c r="O147" s="13"/>
      <c r="P147" s="14"/>
      <c r="Q147" s="13"/>
      <c r="R147" s="13"/>
      <c r="S147" s="14"/>
      <c r="T147" s="14"/>
      <c r="U147" s="14"/>
      <c r="V147" s="14"/>
      <c r="W147" s="14"/>
      <c r="X147" s="13"/>
      <c r="Y147" s="13"/>
      <c r="Z147" s="15"/>
      <c r="AA147" s="13"/>
      <c r="AB147" s="13"/>
      <c r="AC147" s="13"/>
      <c r="AD147" s="14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5"/>
      <c r="AP147" s="15"/>
      <c r="AQ147" s="13"/>
      <c r="AR147" s="15"/>
      <c r="AS147" s="15"/>
      <c r="AT147" s="13"/>
      <c r="AU147" s="13"/>
      <c r="AV147" s="13"/>
      <c r="AW147" s="13"/>
      <c r="AX147" s="13"/>
      <c r="AY147" s="13"/>
    </row>
    <row r="148" spans="1:51" x14ac:dyDescent="0.2">
      <c r="A148" s="13"/>
      <c r="B148" s="14"/>
      <c r="C148" s="13"/>
      <c r="D148" s="13"/>
      <c r="E148" s="14"/>
      <c r="F148" s="13"/>
      <c r="G148" s="14"/>
      <c r="H148" s="13"/>
      <c r="I148" s="13"/>
      <c r="J148" s="13"/>
      <c r="K148" s="13"/>
      <c r="L148" s="13"/>
      <c r="M148" s="13"/>
      <c r="N148" s="13"/>
      <c r="O148" s="13"/>
      <c r="P148" s="14"/>
      <c r="Q148" s="13"/>
      <c r="R148" s="13"/>
      <c r="S148" s="14"/>
      <c r="T148" s="14"/>
      <c r="U148" s="14"/>
      <c r="V148" s="14"/>
      <c r="W148" s="14"/>
      <c r="X148" s="13"/>
      <c r="Y148" s="13"/>
      <c r="Z148" s="15"/>
      <c r="AA148" s="13"/>
      <c r="AB148" s="13"/>
      <c r="AC148" s="13"/>
      <c r="AD148" s="14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5"/>
      <c r="AP148" s="15"/>
      <c r="AQ148" s="13"/>
      <c r="AR148" s="13"/>
      <c r="AS148" s="13"/>
      <c r="AT148" s="13"/>
      <c r="AU148" s="13"/>
      <c r="AV148" s="13"/>
    </row>
    <row r="149" spans="1:51" x14ac:dyDescent="0.2">
      <c r="A149" s="13"/>
      <c r="B149" s="14"/>
      <c r="C149" s="13"/>
      <c r="D149" s="13"/>
      <c r="E149" s="14"/>
      <c r="F149" s="13"/>
      <c r="G149" s="14"/>
      <c r="H149" s="13"/>
      <c r="I149" s="13"/>
      <c r="J149" s="13"/>
      <c r="K149" s="13"/>
      <c r="L149" s="13"/>
      <c r="M149" s="13"/>
      <c r="N149" s="13"/>
      <c r="O149" s="13"/>
      <c r="P149" s="14"/>
      <c r="Q149" s="13"/>
      <c r="R149" s="13"/>
      <c r="S149" s="14"/>
      <c r="T149" s="14"/>
      <c r="U149" s="14"/>
      <c r="V149" s="14"/>
      <c r="W149" s="14"/>
      <c r="X149" s="13"/>
      <c r="Y149" s="13"/>
      <c r="Z149" s="15"/>
      <c r="AA149" s="13"/>
      <c r="AB149" s="13"/>
      <c r="AC149" s="13"/>
      <c r="AD149" s="14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5"/>
      <c r="AP149" s="15"/>
      <c r="AQ149" s="13"/>
      <c r="AR149" s="13"/>
      <c r="AS149" s="13"/>
      <c r="AT149" s="13"/>
      <c r="AU149" s="13"/>
      <c r="AV149" s="13"/>
    </row>
    <row r="150" spans="1:51" x14ac:dyDescent="0.2">
      <c r="A150" s="13"/>
      <c r="B150" s="14"/>
      <c r="C150" s="13"/>
      <c r="D150" s="13"/>
      <c r="E150" s="14"/>
      <c r="F150" s="13"/>
      <c r="G150" s="14"/>
      <c r="H150" s="13"/>
      <c r="I150" s="13"/>
      <c r="J150" s="13"/>
      <c r="K150" s="13"/>
      <c r="L150" s="13"/>
      <c r="M150" s="13"/>
      <c r="N150" s="13"/>
      <c r="O150" s="13"/>
      <c r="P150" s="14"/>
      <c r="Q150" s="13"/>
      <c r="R150" s="13"/>
      <c r="S150" s="14"/>
      <c r="T150" s="14"/>
      <c r="U150" s="14"/>
      <c r="V150" s="14"/>
      <c r="W150" s="14"/>
      <c r="X150" s="13"/>
      <c r="Y150" s="13"/>
      <c r="Z150" s="15"/>
      <c r="AA150" s="13"/>
      <c r="AB150" s="13"/>
      <c r="AC150" s="13"/>
      <c r="AD150" s="14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5"/>
      <c r="AP150" s="15"/>
      <c r="AQ150" s="13"/>
      <c r="AR150" s="13"/>
      <c r="AS150" s="13"/>
      <c r="AT150" s="13"/>
      <c r="AU150" s="13"/>
      <c r="AV150" s="13"/>
    </row>
    <row r="151" spans="1:51" x14ac:dyDescent="0.2">
      <c r="A151" s="13"/>
      <c r="B151" s="14"/>
      <c r="C151" s="13"/>
      <c r="D151" s="13"/>
      <c r="E151" s="14"/>
      <c r="F151" s="13"/>
      <c r="G151" s="14"/>
      <c r="H151" s="13"/>
      <c r="I151" s="13"/>
      <c r="J151" s="13"/>
      <c r="K151" s="13"/>
      <c r="L151" s="13"/>
      <c r="M151" s="13"/>
      <c r="N151" s="13"/>
      <c r="O151" s="13"/>
      <c r="P151" s="14"/>
      <c r="Q151" s="13"/>
      <c r="R151" s="13"/>
      <c r="S151" s="14"/>
      <c r="T151" s="14"/>
      <c r="U151" s="14"/>
      <c r="V151" s="14"/>
      <c r="W151" s="14"/>
      <c r="X151" s="13"/>
      <c r="Y151" s="13"/>
      <c r="Z151" s="15"/>
      <c r="AA151" s="13"/>
      <c r="AB151" s="13"/>
      <c r="AC151" s="13"/>
      <c r="AD151" s="14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5"/>
      <c r="AP151" s="15"/>
      <c r="AQ151" s="13"/>
      <c r="AR151" s="13"/>
      <c r="AS151" s="13"/>
      <c r="AT151" s="13"/>
      <c r="AU151" s="13"/>
      <c r="AV151" s="13"/>
    </row>
    <row r="152" spans="1:51" x14ac:dyDescent="0.2">
      <c r="A152" s="13"/>
      <c r="B152" s="14"/>
      <c r="C152" s="13"/>
      <c r="D152" s="13"/>
      <c r="E152" s="14"/>
      <c r="F152" s="13"/>
      <c r="G152" s="14"/>
      <c r="H152" s="13"/>
      <c r="I152" s="13"/>
      <c r="J152" s="13"/>
      <c r="K152" s="13"/>
      <c r="L152" s="13"/>
      <c r="M152" s="13"/>
      <c r="N152" s="13"/>
      <c r="O152" s="13"/>
      <c r="P152" s="14"/>
      <c r="Q152" s="13"/>
      <c r="R152" s="13"/>
      <c r="S152" s="14"/>
      <c r="T152" s="14"/>
      <c r="U152" s="14"/>
      <c r="V152" s="14"/>
      <c r="W152" s="14"/>
      <c r="X152" s="13"/>
      <c r="Y152" s="13"/>
      <c r="Z152" s="15"/>
      <c r="AA152" s="13"/>
      <c r="AB152" s="13"/>
      <c r="AC152" s="13"/>
      <c r="AD152" s="14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5"/>
      <c r="AP152" s="15"/>
      <c r="AQ152" s="13"/>
      <c r="AR152" s="13"/>
      <c r="AS152" s="13"/>
      <c r="AT152" s="13"/>
      <c r="AU152" s="13"/>
      <c r="AV152" s="13"/>
    </row>
    <row r="153" spans="1:51" x14ac:dyDescent="0.2">
      <c r="A153" s="13"/>
      <c r="B153" s="14"/>
      <c r="C153" s="13"/>
      <c r="D153" s="13"/>
      <c r="E153" s="14"/>
      <c r="F153" s="13"/>
      <c r="G153" s="14"/>
      <c r="H153" s="13"/>
      <c r="I153" s="13"/>
      <c r="J153" s="13"/>
      <c r="K153" s="13"/>
      <c r="L153" s="13"/>
      <c r="M153" s="13"/>
      <c r="N153" s="13"/>
      <c r="O153" s="13"/>
      <c r="P153" s="14"/>
      <c r="Q153" s="13"/>
      <c r="R153" s="13"/>
      <c r="S153" s="14"/>
      <c r="T153" s="14"/>
      <c r="U153" s="14"/>
      <c r="V153" s="14"/>
      <c r="W153" s="14"/>
      <c r="X153" s="13"/>
      <c r="Y153" s="13"/>
      <c r="Z153" s="15"/>
      <c r="AA153" s="13"/>
      <c r="AB153" s="13"/>
      <c r="AC153" s="13"/>
      <c r="AD153" s="14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5"/>
      <c r="AP153" s="15"/>
      <c r="AQ153" s="13"/>
      <c r="AR153" s="13"/>
      <c r="AS153" s="13"/>
      <c r="AT153" s="13"/>
      <c r="AU153" s="13"/>
      <c r="AV153" s="15"/>
    </row>
    <row r="154" spans="1:51" x14ac:dyDescent="0.2">
      <c r="A154" s="13"/>
      <c r="B154" s="14"/>
      <c r="C154" s="13"/>
      <c r="D154" s="13"/>
      <c r="E154" s="14"/>
      <c r="F154" s="13"/>
      <c r="G154" s="14"/>
      <c r="H154" s="13"/>
      <c r="I154" s="13"/>
      <c r="J154" s="13"/>
      <c r="K154" s="13"/>
      <c r="L154" s="13"/>
      <c r="M154" s="13"/>
      <c r="N154" s="13"/>
      <c r="O154" s="13"/>
      <c r="P154" s="14"/>
      <c r="Q154" s="13"/>
      <c r="R154" s="13"/>
      <c r="S154" s="14"/>
      <c r="T154" s="14"/>
      <c r="U154" s="14"/>
      <c r="V154" s="14"/>
      <c r="W154" s="14"/>
      <c r="X154" s="13"/>
      <c r="Y154" s="13"/>
      <c r="Z154" s="15"/>
      <c r="AA154" s="13"/>
      <c r="AB154" s="13"/>
      <c r="AC154" s="13"/>
      <c r="AD154" s="14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5"/>
      <c r="AP154" s="15"/>
      <c r="AQ154" s="13"/>
      <c r="AR154" s="13"/>
      <c r="AS154" s="13"/>
      <c r="AT154" s="13"/>
      <c r="AU154" s="13"/>
      <c r="AV154" s="15"/>
    </row>
    <row r="155" spans="1:51" x14ac:dyDescent="0.2">
      <c r="A155" s="13"/>
      <c r="B155" s="14"/>
      <c r="C155" s="13"/>
      <c r="D155" s="13"/>
      <c r="E155" s="14"/>
      <c r="F155" s="13"/>
      <c r="G155" s="14"/>
      <c r="H155" s="13"/>
      <c r="I155" s="13"/>
      <c r="J155" s="13"/>
      <c r="K155" s="13"/>
      <c r="L155" s="13"/>
      <c r="M155" s="13"/>
      <c r="N155" s="13"/>
      <c r="O155" s="13"/>
      <c r="P155" s="14"/>
      <c r="Q155" s="13"/>
      <c r="R155" s="13"/>
      <c r="S155" s="14"/>
      <c r="T155" s="14"/>
      <c r="U155" s="14"/>
      <c r="V155" s="14"/>
      <c r="W155" s="14"/>
      <c r="X155" s="13"/>
      <c r="Y155" s="13"/>
      <c r="Z155" s="15"/>
      <c r="AA155" s="13"/>
      <c r="AB155" s="13"/>
      <c r="AC155" s="13"/>
      <c r="AD155" s="14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5"/>
      <c r="AP155" s="15"/>
      <c r="AQ155" s="13"/>
      <c r="AR155" s="13"/>
      <c r="AS155" s="13"/>
      <c r="AT155" s="13"/>
      <c r="AU155" s="13"/>
      <c r="AV155" s="13"/>
    </row>
    <row r="156" spans="1:51" x14ac:dyDescent="0.2">
      <c r="A156" s="13"/>
      <c r="B156" s="14"/>
      <c r="C156" s="13"/>
      <c r="D156" s="13"/>
      <c r="E156" s="14"/>
      <c r="F156" s="13"/>
      <c r="G156" s="14"/>
      <c r="H156" s="13"/>
      <c r="I156" s="13"/>
      <c r="J156" s="13"/>
      <c r="K156" s="13"/>
      <c r="L156" s="13"/>
      <c r="M156" s="13"/>
      <c r="N156" s="13"/>
      <c r="O156" s="13"/>
      <c r="P156" s="14"/>
      <c r="Q156" s="13"/>
      <c r="R156" s="13"/>
      <c r="S156" s="14"/>
      <c r="T156" s="14"/>
      <c r="U156" s="14"/>
      <c r="V156" s="14"/>
      <c r="W156" s="14"/>
      <c r="X156" s="13"/>
      <c r="Y156" s="13"/>
      <c r="Z156" s="15"/>
      <c r="AA156" s="13"/>
      <c r="AB156" s="13"/>
      <c r="AC156" s="13"/>
      <c r="AD156" s="14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5"/>
      <c r="AP156" s="15"/>
      <c r="AQ156" s="13"/>
      <c r="AR156" s="13"/>
      <c r="AS156" s="13"/>
      <c r="AT156" s="13"/>
      <c r="AU156" s="13"/>
      <c r="AV156" s="13"/>
    </row>
    <row r="157" spans="1:51" x14ac:dyDescent="0.2">
      <c r="A157" s="13"/>
      <c r="B157" s="14"/>
      <c r="C157" s="13"/>
      <c r="D157" s="13"/>
      <c r="E157" s="14"/>
      <c r="F157" s="13"/>
      <c r="G157" s="14"/>
      <c r="H157" s="13"/>
      <c r="I157" s="13"/>
      <c r="J157" s="13"/>
      <c r="K157" s="13"/>
      <c r="L157" s="13"/>
      <c r="M157" s="13"/>
      <c r="N157" s="13"/>
      <c r="O157" s="13"/>
      <c r="P157" s="14"/>
      <c r="Q157" s="13"/>
      <c r="R157" s="13"/>
      <c r="S157" s="14"/>
      <c r="T157" s="14"/>
      <c r="U157" s="14"/>
      <c r="V157" s="14"/>
      <c r="W157" s="14"/>
      <c r="X157" s="13"/>
      <c r="Y157" s="13"/>
      <c r="Z157" s="15"/>
      <c r="AA157" s="13"/>
      <c r="AB157" s="13"/>
      <c r="AC157" s="13"/>
      <c r="AD157" s="14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5"/>
      <c r="AP157" s="15"/>
      <c r="AQ157" s="13"/>
      <c r="AR157" s="13"/>
      <c r="AS157" s="13"/>
      <c r="AT157" s="13"/>
      <c r="AU157" s="13"/>
      <c r="AV157" s="13"/>
    </row>
    <row r="158" spans="1:51" x14ac:dyDescent="0.2">
      <c r="A158" s="13"/>
      <c r="B158" s="14"/>
      <c r="C158" s="13"/>
      <c r="D158" s="13"/>
      <c r="E158" s="14"/>
      <c r="F158" s="13"/>
      <c r="G158" s="14"/>
      <c r="H158" s="13"/>
      <c r="I158" s="13"/>
      <c r="J158" s="13"/>
      <c r="K158" s="13"/>
      <c r="L158" s="13"/>
      <c r="M158" s="13"/>
      <c r="N158" s="13"/>
      <c r="O158" s="13"/>
      <c r="P158" s="14"/>
      <c r="Q158" s="13"/>
      <c r="R158" s="13"/>
      <c r="S158" s="14"/>
      <c r="T158" s="14"/>
      <c r="U158" s="14"/>
      <c r="V158" s="14"/>
      <c r="W158" s="14"/>
      <c r="X158" s="13"/>
      <c r="Y158" s="13"/>
      <c r="Z158" s="15"/>
      <c r="AA158" s="13"/>
      <c r="AB158" s="13"/>
      <c r="AC158" s="13"/>
      <c r="AD158" s="14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5"/>
      <c r="AP158" s="15"/>
      <c r="AQ158" s="13"/>
      <c r="AR158" s="13"/>
      <c r="AS158" s="13"/>
      <c r="AT158" s="13"/>
      <c r="AU158" s="13"/>
      <c r="AV158" s="13"/>
    </row>
    <row r="159" spans="1:51" x14ac:dyDescent="0.2">
      <c r="A159" s="13"/>
      <c r="B159" s="14"/>
      <c r="C159" s="13"/>
      <c r="D159" s="13"/>
      <c r="E159" s="14"/>
      <c r="F159" s="13"/>
      <c r="G159" s="14"/>
      <c r="H159" s="13"/>
      <c r="I159" s="13"/>
      <c r="J159" s="13"/>
      <c r="K159" s="13"/>
      <c r="L159" s="13"/>
      <c r="M159" s="13"/>
      <c r="N159" s="13"/>
      <c r="O159" s="13"/>
      <c r="P159" s="14"/>
      <c r="Q159" s="13"/>
      <c r="R159" s="13"/>
      <c r="S159" s="14"/>
      <c r="T159" s="14"/>
      <c r="U159" s="14"/>
      <c r="V159" s="14"/>
      <c r="W159" s="14"/>
      <c r="X159" s="13"/>
      <c r="Y159" s="13"/>
      <c r="Z159" s="15"/>
      <c r="AA159" s="13"/>
      <c r="AB159" s="13"/>
      <c r="AC159" s="13"/>
      <c r="AD159" s="14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5"/>
      <c r="AP159" s="15"/>
      <c r="AQ159" s="13"/>
      <c r="AR159" s="13"/>
      <c r="AS159" s="13"/>
      <c r="AT159" s="13"/>
      <c r="AU159" s="13"/>
      <c r="AV159" s="13"/>
    </row>
    <row r="160" spans="1:51" x14ac:dyDescent="0.2">
      <c r="A160" s="13"/>
      <c r="B160" s="14"/>
      <c r="C160" s="13"/>
      <c r="D160" s="13"/>
      <c r="E160" s="14"/>
      <c r="F160" s="13"/>
      <c r="G160" s="14"/>
      <c r="H160" s="13"/>
      <c r="I160" s="13"/>
      <c r="J160" s="13"/>
      <c r="K160" s="13"/>
      <c r="L160" s="13"/>
      <c r="M160" s="13"/>
      <c r="N160" s="13"/>
      <c r="O160" s="13"/>
      <c r="P160" s="14"/>
      <c r="Q160" s="13"/>
      <c r="R160" s="13"/>
      <c r="S160" s="14"/>
      <c r="T160" s="14"/>
      <c r="U160" s="14"/>
      <c r="V160" s="14"/>
      <c r="W160" s="14"/>
      <c r="X160" s="13"/>
      <c r="Y160" s="13"/>
      <c r="Z160" s="15"/>
      <c r="AA160" s="13"/>
      <c r="AB160" s="13"/>
      <c r="AC160" s="13"/>
      <c r="AD160" s="14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5"/>
      <c r="AP160" s="15"/>
      <c r="AQ160" s="13"/>
      <c r="AR160" s="13"/>
      <c r="AS160" s="13"/>
      <c r="AT160" s="13"/>
      <c r="AU160" s="13"/>
      <c r="AV160" s="13"/>
    </row>
    <row r="161" spans="1:48" x14ac:dyDescent="0.2">
      <c r="A161" s="13"/>
      <c r="B161" s="14"/>
      <c r="C161" s="13"/>
      <c r="D161" s="13"/>
      <c r="E161" s="14"/>
      <c r="F161" s="13"/>
      <c r="G161" s="14"/>
      <c r="H161" s="13"/>
      <c r="I161" s="13"/>
      <c r="J161" s="13"/>
      <c r="K161" s="13"/>
      <c r="L161" s="13"/>
      <c r="M161" s="13"/>
      <c r="N161" s="13"/>
      <c r="O161" s="13"/>
      <c r="P161" s="14"/>
      <c r="Q161" s="13"/>
      <c r="R161" s="13"/>
      <c r="S161" s="14"/>
      <c r="T161" s="14"/>
      <c r="U161" s="14"/>
      <c r="V161" s="14"/>
      <c r="W161" s="14"/>
      <c r="X161" s="13"/>
      <c r="Y161" s="13"/>
      <c r="Z161" s="15"/>
      <c r="AA161" s="13"/>
      <c r="AB161" s="13"/>
      <c r="AC161" s="13"/>
      <c r="AD161" s="14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5"/>
      <c r="AP161" s="15"/>
      <c r="AQ161" s="13"/>
      <c r="AR161" s="13"/>
      <c r="AS161" s="13"/>
      <c r="AT161" s="13"/>
      <c r="AU161" s="13"/>
      <c r="AV161" s="13"/>
    </row>
    <row r="162" spans="1:48" x14ac:dyDescent="0.2">
      <c r="A162" s="13"/>
      <c r="B162" s="14"/>
      <c r="C162" s="13"/>
      <c r="D162" s="13"/>
      <c r="E162" s="14"/>
      <c r="F162" s="13"/>
      <c r="G162" s="14"/>
      <c r="H162" s="13"/>
      <c r="I162" s="13"/>
      <c r="J162" s="13"/>
      <c r="K162" s="13"/>
      <c r="L162" s="13"/>
      <c r="M162" s="13"/>
      <c r="N162" s="13"/>
      <c r="O162" s="13"/>
      <c r="P162" s="14"/>
      <c r="Q162" s="13"/>
      <c r="R162" s="13"/>
      <c r="S162" s="14"/>
      <c r="T162" s="14"/>
      <c r="U162" s="14"/>
      <c r="V162" s="14"/>
      <c r="W162" s="14"/>
      <c r="X162" s="13"/>
      <c r="Y162" s="13"/>
      <c r="Z162" s="15"/>
      <c r="AA162" s="13"/>
      <c r="AB162" s="13"/>
      <c r="AC162" s="13"/>
      <c r="AD162" s="14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5"/>
      <c r="AP162" s="15"/>
      <c r="AQ162" s="13"/>
      <c r="AR162" s="13"/>
      <c r="AS162" s="13"/>
      <c r="AT162" s="13"/>
      <c r="AU162" s="13"/>
      <c r="AV162" s="15"/>
    </row>
    <row r="163" spans="1:48" x14ac:dyDescent="0.2">
      <c r="A163" s="13"/>
      <c r="B163" s="14"/>
      <c r="C163" s="13"/>
      <c r="D163" s="13"/>
      <c r="E163" s="14"/>
      <c r="F163" s="13"/>
      <c r="G163" s="14"/>
      <c r="H163" s="13"/>
      <c r="I163" s="13"/>
      <c r="J163" s="13"/>
      <c r="K163" s="13"/>
      <c r="L163" s="13"/>
      <c r="M163" s="13"/>
      <c r="N163" s="13"/>
      <c r="O163" s="13"/>
      <c r="P163" s="14"/>
      <c r="Q163" s="13"/>
      <c r="R163" s="13"/>
      <c r="S163" s="14"/>
      <c r="T163" s="14"/>
      <c r="U163" s="14"/>
      <c r="V163" s="14"/>
      <c r="W163" s="14"/>
      <c r="X163" s="13"/>
      <c r="Y163" s="13"/>
      <c r="Z163" s="15"/>
      <c r="AA163" s="13"/>
      <c r="AB163" s="13"/>
      <c r="AC163" s="13"/>
      <c r="AD163" s="14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5"/>
      <c r="AP163" s="15"/>
      <c r="AQ163" s="13"/>
      <c r="AR163" s="13"/>
      <c r="AS163" s="13"/>
      <c r="AT163" s="13"/>
      <c r="AU163" s="13"/>
      <c r="AV163" s="13"/>
    </row>
    <row r="164" spans="1:48" x14ac:dyDescent="0.2">
      <c r="A164" s="13"/>
      <c r="B164" s="14"/>
      <c r="C164" s="13"/>
      <c r="D164" s="13"/>
      <c r="E164" s="14"/>
      <c r="F164" s="13"/>
      <c r="G164" s="14"/>
      <c r="H164" s="13"/>
      <c r="I164" s="13"/>
      <c r="J164" s="13"/>
      <c r="K164" s="13"/>
      <c r="L164" s="13"/>
      <c r="M164" s="13"/>
      <c r="N164" s="13"/>
      <c r="O164" s="13"/>
      <c r="P164" s="14"/>
      <c r="Q164" s="13"/>
      <c r="R164" s="13"/>
      <c r="S164" s="14"/>
      <c r="T164" s="14"/>
      <c r="U164" s="14"/>
      <c r="V164" s="14"/>
      <c r="W164" s="14"/>
      <c r="X164" s="13"/>
      <c r="Y164" s="13"/>
      <c r="Z164" s="15"/>
      <c r="AA164" s="13"/>
      <c r="AB164" s="13"/>
      <c r="AC164" s="13"/>
      <c r="AD164" s="14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5"/>
      <c r="AP164" s="15"/>
      <c r="AQ164" s="13"/>
      <c r="AR164" s="13"/>
      <c r="AS164" s="13"/>
      <c r="AT164" s="13"/>
      <c r="AU164" s="13"/>
      <c r="AV164" s="15"/>
    </row>
    <row r="165" spans="1:48" x14ac:dyDescent="0.2">
      <c r="A165" s="13"/>
      <c r="B165" s="14"/>
      <c r="C165" s="13"/>
      <c r="D165" s="13"/>
      <c r="E165" s="14"/>
      <c r="F165" s="13"/>
      <c r="G165" s="14"/>
      <c r="H165" s="13"/>
      <c r="I165" s="13"/>
      <c r="J165" s="13"/>
      <c r="K165" s="13"/>
      <c r="L165" s="13"/>
      <c r="M165" s="13"/>
      <c r="N165" s="13"/>
      <c r="O165" s="13"/>
      <c r="P165" s="14"/>
      <c r="Q165" s="13"/>
      <c r="R165" s="13"/>
      <c r="S165" s="14"/>
      <c r="T165" s="14"/>
      <c r="U165" s="14"/>
      <c r="V165" s="14"/>
      <c r="W165" s="14"/>
      <c r="X165" s="13"/>
      <c r="Y165" s="13"/>
      <c r="Z165" s="15"/>
      <c r="AA165" s="13"/>
      <c r="AB165" s="13"/>
      <c r="AC165" s="13"/>
      <c r="AD165" s="14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5"/>
      <c r="AP165" s="15"/>
      <c r="AQ165" s="13"/>
      <c r="AR165" s="13"/>
      <c r="AS165" s="13"/>
      <c r="AT165" s="13"/>
      <c r="AU165" s="13"/>
      <c r="AV165" s="13"/>
    </row>
    <row r="166" spans="1:48" x14ac:dyDescent="0.2">
      <c r="A166" s="13"/>
      <c r="B166" s="14"/>
      <c r="C166" s="13"/>
      <c r="D166" s="13"/>
      <c r="E166" s="14"/>
      <c r="F166" s="13"/>
      <c r="G166" s="14"/>
      <c r="H166" s="13"/>
      <c r="I166" s="13"/>
      <c r="J166" s="13"/>
      <c r="K166" s="13"/>
      <c r="L166" s="13"/>
      <c r="M166" s="13"/>
      <c r="N166" s="13"/>
      <c r="O166" s="13"/>
      <c r="P166" s="14"/>
      <c r="Q166" s="13"/>
      <c r="R166" s="13"/>
      <c r="S166" s="14"/>
      <c r="T166" s="14"/>
      <c r="U166" s="14"/>
      <c r="V166" s="14"/>
      <c r="W166" s="14"/>
      <c r="X166" s="13"/>
      <c r="Y166" s="13"/>
      <c r="Z166" s="15"/>
      <c r="AA166" s="13"/>
      <c r="AB166" s="13"/>
      <c r="AC166" s="13"/>
      <c r="AD166" s="14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5"/>
      <c r="AP166" s="15"/>
      <c r="AQ166" s="13"/>
      <c r="AR166" s="13"/>
      <c r="AS166" s="13"/>
      <c r="AT166" s="13"/>
      <c r="AU166" s="13"/>
      <c r="AV166" s="15"/>
    </row>
    <row r="167" spans="1:48" x14ac:dyDescent="0.2">
      <c r="A167" s="13"/>
      <c r="B167" s="14"/>
      <c r="C167" s="13"/>
      <c r="D167" s="13"/>
      <c r="E167" s="14"/>
      <c r="F167" s="13"/>
      <c r="G167" s="14"/>
      <c r="H167" s="13"/>
      <c r="I167" s="13"/>
      <c r="J167" s="13"/>
      <c r="K167" s="13"/>
      <c r="L167" s="13"/>
      <c r="M167" s="13"/>
      <c r="N167" s="13"/>
      <c r="O167" s="13"/>
      <c r="P167" s="14"/>
      <c r="Q167" s="13"/>
      <c r="R167" s="13"/>
      <c r="S167" s="14"/>
      <c r="T167" s="14"/>
      <c r="U167" s="14"/>
      <c r="V167" s="14"/>
      <c r="W167" s="14"/>
      <c r="X167" s="13"/>
      <c r="Y167" s="13"/>
      <c r="Z167" s="15"/>
      <c r="AA167" s="13"/>
      <c r="AB167" s="13"/>
      <c r="AC167" s="13"/>
      <c r="AD167" s="14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5"/>
      <c r="AP167" s="15"/>
      <c r="AQ167" s="13"/>
      <c r="AR167" s="13"/>
      <c r="AS167" s="13"/>
      <c r="AT167" s="13"/>
      <c r="AU167" s="13"/>
      <c r="AV167" s="13"/>
    </row>
    <row r="168" spans="1:48" x14ac:dyDescent="0.2">
      <c r="A168" s="13"/>
      <c r="B168" s="14"/>
      <c r="C168" s="13"/>
      <c r="D168" s="13"/>
      <c r="E168" s="14"/>
      <c r="F168" s="13"/>
      <c r="G168" s="14"/>
      <c r="H168" s="13"/>
      <c r="I168" s="13"/>
      <c r="J168" s="13"/>
      <c r="K168" s="13"/>
      <c r="L168" s="13"/>
      <c r="M168" s="13"/>
      <c r="N168" s="13"/>
      <c r="O168" s="13"/>
      <c r="P168" s="14"/>
      <c r="Q168" s="13"/>
      <c r="R168" s="13"/>
      <c r="S168" s="14"/>
      <c r="T168" s="14"/>
      <c r="U168" s="14"/>
      <c r="V168" s="14"/>
      <c r="W168" s="14"/>
      <c r="X168" s="13"/>
      <c r="Y168" s="13"/>
      <c r="Z168" s="15"/>
      <c r="AA168" s="13"/>
      <c r="AB168" s="13"/>
      <c r="AC168" s="13"/>
      <c r="AD168" s="14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5"/>
      <c r="AP168" s="15"/>
      <c r="AQ168" s="13"/>
      <c r="AR168" s="13"/>
      <c r="AS168" s="13"/>
      <c r="AT168" s="13"/>
      <c r="AU168" s="13"/>
      <c r="AV168" s="13"/>
    </row>
    <row r="169" spans="1:48" x14ac:dyDescent="0.2">
      <c r="A169" s="13"/>
      <c r="B169" s="14"/>
      <c r="C169" s="13"/>
      <c r="D169" s="13"/>
      <c r="E169" s="14"/>
      <c r="F169" s="13"/>
      <c r="G169" s="14"/>
      <c r="H169" s="13"/>
      <c r="I169" s="13"/>
      <c r="J169" s="13"/>
      <c r="K169" s="13"/>
      <c r="L169" s="13"/>
      <c r="M169" s="13"/>
      <c r="N169" s="13"/>
      <c r="O169" s="13"/>
      <c r="P169" s="14"/>
      <c r="Q169" s="13"/>
      <c r="R169" s="13"/>
      <c r="S169" s="14"/>
      <c r="T169" s="14"/>
      <c r="U169" s="14"/>
      <c r="V169" s="14"/>
      <c r="W169" s="14"/>
      <c r="X169" s="13"/>
      <c r="Y169" s="13"/>
      <c r="Z169" s="15"/>
      <c r="AA169" s="13"/>
      <c r="AB169" s="13"/>
      <c r="AC169" s="13"/>
      <c r="AD169" s="14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5"/>
      <c r="AP169" s="15"/>
      <c r="AQ169" s="13"/>
      <c r="AR169" s="13"/>
      <c r="AS169" s="13"/>
      <c r="AT169" s="13"/>
      <c r="AU169" s="13"/>
      <c r="AV169" s="15"/>
    </row>
    <row r="170" spans="1:48" x14ac:dyDescent="0.2">
      <c r="A170" s="13"/>
      <c r="B170" s="14"/>
      <c r="C170" s="13"/>
      <c r="D170" s="13"/>
      <c r="E170" s="14"/>
      <c r="F170" s="13"/>
      <c r="G170" s="14"/>
      <c r="H170" s="13"/>
      <c r="I170" s="13"/>
      <c r="J170" s="13"/>
      <c r="K170" s="13"/>
      <c r="L170" s="13"/>
      <c r="M170" s="13"/>
      <c r="N170" s="13"/>
      <c r="O170" s="13"/>
      <c r="P170" s="14"/>
      <c r="Q170" s="13"/>
      <c r="R170" s="13"/>
      <c r="S170" s="14"/>
      <c r="T170" s="14"/>
      <c r="U170" s="14"/>
      <c r="V170" s="14"/>
      <c r="W170" s="14"/>
      <c r="X170" s="13"/>
      <c r="Y170" s="13"/>
      <c r="Z170" s="15"/>
      <c r="AA170" s="13"/>
      <c r="AB170" s="13"/>
      <c r="AC170" s="13"/>
      <c r="AD170" s="14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5"/>
      <c r="AP170" s="15"/>
      <c r="AQ170" s="13"/>
      <c r="AR170" s="13"/>
      <c r="AS170" s="13"/>
      <c r="AT170" s="13"/>
      <c r="AU170" s="13"/>
      <c r="AV170" s="13"/>
    </row>
    <row r="171" spans="1:48" x14ac:dyDescent="0.2">
      <c r="A171" s="13"/>
      <c r="B171" s="14"/>
      <c r="C171" s="13"/>
      <c r="D171" s="13"/>
      <c r="E171" s="14"/>
      <c r="F171" s="13"/>
      <c r="G171" s="14"/>
      <c r="H171" s="13"/>
      <c r="I171" s="13"/>
      <c r="J171" s="13"/>
      <c r="K171" s="13"/>
      <c r="L171" s="13"/>
      <c r="M171" s="13"/>
      <c r="N171" s="13"/>
      <c r="O171" s="13"/>
      <c r="P171" s="14"/>
      <c r="Q171" s="13"/>
      <c r="R171" s="13"/>
      <c r="S171" s="14"/>
      <c r="T171" s="14"/>
      <c r="U171" s="14"/>
      <c r="V171" s="14"/>
      <c r="W171" s="14"/>
      <c r="X171" s="13"/>
      <c r="Y171" s="13"/>
      <c r="Z171" s="15"/>
      <c r="AA171" s="13"/>
      <c r="AB171" s="13"/>
      <c r="AC171" s="13"/>
      <c r="AD171" s="14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5"/>
      <c r="AP171" s="15"/>
      <c r="AQ171" s="13"/>
      <c r="AR171" s="13"/>
      <c r="AS171" s="13"/>
      <c r="AT171" s="13"/>
      <c r="AU171" s="13"/>
      <c r="AV171" s="13"/>
    </row>
    <row r="172" spans="1:48" x14ac:dyDescent="0.2">
      <c r="A172" s="13"/>
      <c r="B172" s="14"/>
      <c r="C172" s="13"/>
      <c r="D172" s="13"/>
      <c r="E172" s="14"/>
      <c r="F172" s="13"/>
      <c r="G172" s="14"/>
      <c r="H172" s="13"/>
      <c r="I172" s="13"/>
      <c r="J172" s="13"/>
      <c r="K172" s="13"/>
      <c r="L172" s="13"/>
      <c r="M172" s="13"/>
      <c r="N172" s="13"/>
      <c r="O172" s="13"/>
      <c r="P172" s="14"/>
      <c r="Q172" s="13"/>
      <c r="R172" s="13"/>
      <c r="S172" s="14"/>
      <c r="T172" s="14"/>
      <c r="U172" s="14"/>
      <c r="V172" s="14"/>
      <c r="W172" s="14"/>
      <c r="X172" s="13"/>
      <c r="Y172" s="13"/>
      <c r="Z172" s="15"/>
      <c r="AA172" s="13"/>
      <c r="AB172" s="13"/>
      <c r="AC172" s="13"/>
      <c r="AD172" s="14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5"/>
      <c r="AP172" s="15"/>
      <c r="AQ172" s="13"/>
      <c r="AR172" s="13"/>
      <c r="AS172" s="13"/>
      <c r="AT172" s="13"/>
      <c r="AU172" s="13"/>
      <c r="AV172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3"/>
  <dimension ref="A1:AY106"/>
  <sheetViews>
    <sheetView workbookViewId="0">
      <selection activeCell="A2" sqref="A2:AY106"/>
    </sheetView>
  </sheetViews>
  <sheetFormatPr baseColWidth="10" defaultRowHeight="12.75" x14ac:dyDescent="0.2"/>
  <sheetData>
    <row r="1" spans="1:51" x14ac:dyDescent="0.2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68</v>
      </c>
      <c r="F1" s="13" t="s">
        <v>69</v>
      </c>
      <c r="G1" s="13" t="s">
        <v>70</v>
      </c>
      <c r="H1" s="13" t="s">
        <v>71</v>
      </c>
      <c r="I1" s="13" t="s">
        <v>72</v>
      </c>
      <c r="J1" s="13" t="s">
        <v>73</v>
      </c>
      <c r="K1" s="13" t="s">
        <v>74</v>
      </c>
      <c r="L1" s="13" t="s">
        <v>75</v>
      </c>
      <c r="M1" s="13" t="s">
        <v>76</v>
      </c>
      <c r="N1" s="13" t="s">
        <v>77</v>
      </c>
      <c r="O1" s="13" t="s">
        <v>78</v>
      </c>
      <c r="P1" s="13" t="s">
        <v>79</v>
      </c>
      <c r="Q1" s="13" t="s">
        <v>80</v>
      </c>
      <c r="R1" s="13" t="s">
        <v>81</v>
      </c>
      <c r="S1" s="13" t="s">
        <v>82</v>
      </c>
      <c r="T1" s="13" t="s">
        <v>83</v>
      </c>
      <c r="U1" s="13" t="s">
        <v>84</v>
      </c>
      <c r="V1" s="13" t="s">
        <v>85</v>
      </c>
      <c r="W1" s="13" t="s">
        <v>86</v>
      </c>
      <c r="X1" s="13" t="s">
        <v>87</v>
      </c>
      <c r="Y1" s="13" t="s">
        <v>88</v>
      </c>
      <c r="Z1" s="13" t="s">
        <v>89</v>
      </c>
      <c r="AA1" s="13" t="s">
        <v>90</v>
      </c>
      <c r="AB1" s="13" t="s">
        <v>91</v>
      </c>
      <c r="AC1" s="13" t="s">
        <v>92</v>
      </c>
      <c r="AD1" s="13" t="s">
        <v>93</v>
      </c>
      <c r="AE1" s="13" t="s">
        <v>94</v>
      </c>
      <c r="AF1" s="13" t="s">
        <v>95</v>
      </c>
      <c r="AG1" s="13" t="s">
        <v>96</v>
      </c>
      <c r="AH1" s="13" t="s">
        <v>97</v>
      </c>
      <c r="AI1" s="13" t="s">
        <v>98</v>
      </c>
      <c r="AJ1" s="13" t="s">
        <v>99</v>
      </c>
      <c r="AK1" s="13" t="s">
        <v>100</v>
      </c>
      <c r="AL1" s="13" t="s">
        <v>101</v>
      </c>
      <c r="AM1" s="13" t="s">
        <v>102</v>
      </c>
      <c r="AN1" s="13" t="s">
        <v>103</v>
      </c>
      <c r="AO1" s="13" t="s">
        <v>278</v>
      </c>
      <c r="AP1" s="13" t="s">
        <v>279</v>
      </c>
      <c r="AQ1" s="13" t="s">
        <v>280</v>
      </c>
      <c r="AR1" s="13" t="s">
        <v>104</v>
      </c>
      <c r="AS1" s="13" t="s">
        <v>105</v>
      </c>
      <c r="AT1" s="13" t="s">
        <v>106</v>
      </c>
      <c r="AU1" s="13" t="s">
        <v>107</v>
      </c>
      <c r="AV1" s="13" t="s">
        <v>108</v>
      </c>
      <c r="AW1" s="13" t="s">
        <v>137</v>
      </c>
      <c r="AX1" s="13" t="s">
        <v>138</v>
      </c>
      <c r="AY1" s="13" t="s">
        <v>139</v>
      </c>
    </row>
    <row r="2" spans="1:51" x14ac:dyDescent="0.2">
      <c r="A2" s="13"/>
      <c r="B2" s="14"/>
      <c r="C2" s="13"/>
      <c r="D2" s="13"/>
      <c r="E2" s="14"/>
      <c r="F2" s="13"/>
      <c r="G2" s="14"/>
      <c r="H2" s="13"/>
      <c r="I2" s="13"/>
      <c r="J2" s="13"/>
      <c r="K2" s="13"/>
      <c r="L2" s="13"/>
      <c r="M2" s="13"/>
      <c r="N2" s="13"/>
      <c r="O2" s="13"/>
      <c r="P2" s="14"/>
      <c r="Q2" s="13"/>
      <c r="R2" s="13"/>
      <c r="S2" s="14"/>
      <c r="T2" s="14"/>
      <c r="U2" s="14"/>
      <c r="V2" s="14"/>
      <c r="W2" s="14"/>
      <c r="X2" s="13"/>
      <c r="Y2" s="13"/>
      <c r="Z2" s="15"/>
      <c r="AA2" s="13"/>
      <c r="AB2" s="13"/>
      <c r="AC2" s="13"/>
      <c r="AD2" s="14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5"/>
      <c r="AP2" s="15"/>
      <c r="AQ2" s="13"/>
      <c r="AR2" s="15"/>
      <c r="AS2" s="15"/>
      <c r="AT2" s="13"/>
      <c r="AU2" s="13"/>
      <c r="AV2" s="13"/>
      <c r="AW2" s="13"/>
      <c r="AX2" s="13"/>
      <c r="AY2" s="15"/>
    </row>
    <row r="3" spans="1:51" x14ac:dyDescent="0.2">
      <c r="A3" s="13"/>
      <c r="B3" s="14"/>
      <c r="C3" s="13"/>
      <c r="D3" s="13"/>
      <c r="E3" s="14"/>
      <c r="F3" s="13"/>
      <c r="G3" s="14"/>
      <c r="H3" s="13"/>
      <c r="I3" s="13"/>
      <c r="J3" s="13"/>
      <c r="K3" s="13"/>
      <c r="L3" s="13"/>
      <c r="M3" s="13"/>
      <c r="N3" s="13"/>
      <c r="O3" s="13"/>
      <c r="P3" s="14"/>
      <c r="Q3" s="13"/>
      <c r="R3" s="13"/>
      <c r="S3" s="14"/>
      <c r="T3" s="14"/>
      <c r="U3" s="14"/>
      <c r="V3" s="14"/>
      <c r="W3" s="14"/>
      <c r="X3" s="13"/>
      <c r="Y3" s="13"/>
      <c r="Z3" s="15"/>
      <c r="AA3" s="13"/>
      <c r="AB3" s="13"/>
      <c r="AC3" s="13"/>
      <c r="AD3" s="14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5"/>
      <c r="AP3" s="15"/>
      <c r="AQ3" s="13"/>
      <c r="AR3" s="15"/>
      <c r="AS3" s="15"/>
      <c r="AT3" s="13"/>
      <c r="AU3" s="13"/>
      <c r="AV3" s="13"/>
      <c r="AW3" s="13"/>
      <c r="AX3" s="13"/>
      <c r="AY3" s="15"/>
    </row>
    <row r="4" spans="1:51" x14ac:dyDescent="0.2">
      <c r="A4" s="13"/>
      <c r="B4" s="14"/>
      <c r="C4" s="13"/>
      <c r="D4" s="13"/>
      <c r="E4" s="14"/>
      <c r="F4" s="13"/>
      <c r="G4" s="14"/>
      <c r="H4" s="13"/>
      <c r="I4" s="13"/>
      <c r="J4" s="13"/>
      <c r="K4" s="13"/>
      <c r="L4" s="13"/>
      <c r="M4" s="13"/>
      <c r="N4" s="13"/>
      <c r="O4" s="13"/>
      <c r="P4" s="14"/>
      <c r="Q4" s="13"/>
      <c r="R4" s="13"/>
      <c r="S4" s="14"/>
      <c r="T4" s="14"/>
      <c r="U4" s="14"/>
      <c r="V4" s="14"/>
      <c r="W4" s="14"/>
      <c r="X4" s="13"/>
      <c r="Y4" s="13"/>
      <c r="Z4" s="15"/>
      <c r="AA4" s="13"/>
      <c r="AB4" s="13"/>
      <c r="AC4" s="13"/>
      <c r="AD4" s="14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5"/>
      <c r="AP4" s="15"/>
      <c r="AQ4" s="13"/>
      <c r="AR4" s="15"/>
      <c r="AS4" s="15"/>
      <c r="AT4" s="13"/>
      <c r="AU4" s="13"/>
      <c r="AV4" s="13"/>
      <c r="AW4" s="13"/>
      <c r="AX4" s="13"/>
      <c r="AY4" s="15"/>
    </row>
    <row r="5" spans="1:51" x14ac:dyDescent="0.2">
      <c r="A5" s="13"/>
      <c r="B5" s="14"/>
      <c r="C5" s="13"/>
      <c r="D5" s="13"/>
      <c r="E5" s="14"/>
      <c r="F5" s="13"/>
      <c r="G5" s="14"/>
      <c r="H5" s="13"/>
      <c r="I5" s="13"/>
      <c r="J5" s="13"/>
      <c r="K5" s="13"/>
      <c r="L5" s="13"/>
      <c r="M5" s="13"/>
      <c r="N5" s="13"/>
      <c r="O5" s="13"/>
      <c r="P5" s="14"/>
      <c r="Q5" s="13"/>
      <c r="R5" s="13"/>
      <c r="S5" s="14"/>
      <c r="T5" s="14"/>
      <c r="U5" s="14"/>
      <c r="V5" s="14"/>
      <c r="W5" s="14"/>
      <c r="X5" s="13"/>
      <c r="Y5" s="13"/>
      <c r="Z5" s="15"/>
      <c r="AA5" s="13"/>
      <c r="AB5" s="13"/>
      <c r="AC5" s="13"/>
      <c r="AD5" s="14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5"/>
      <c r="AP5" s="15"/>
      <c r="AQ5" s="13"/>
      <c r="AR5" s="15"/>
      <c r="AS5" s="15"/>
      <c r="AT5" s="13"/>
      <c r="AU5" s="13"/>
      <c r="AV5" s="13"/>
      <c r="AW5" s="13"/>
      <c r="AX5" s="13"/>
      <c r="AY5" s="15"/>
    </row>
    <row r="6" spans="1:51" x14ac:dyDescent="0.2">
      <c r="A6" s="13"/>
      <c r="B6" s="14"/>
      <c r="C6" s="13"/>
      <c r="D6" s="13"/>
      <c r="E6" s="14"/>
      <c r="F6" s="13"/>
      <c r="G6" s="14"/>
      <c r="H6" s="13"/>
      <c r="I6" s="13"/>
      <c r="J6" s="13"/>
      <c r="K6" s="13"/>
      <c r="L6" s="13"/>
      <c r="M6" s="13"/>
      <c r="N6" s="13"/>
      <c r="O6" s="13"/>
      <c r="P6" s="14"/>
      <c r="Q6" s="13"/>
      <c r="R6" s="13"/>
      <c r="S6" s="14"/>
      <c r="T6" s="14"/>
      <c r="U6" s="14"/>
      <c r="V6" s="14"/>
      <c r="W6" s="14"/>
      <c r="X6" s="13"/>
      <c r="Y6" s="13"/>
      <c r="Z6" s="15"/>
      <c r="AA6" s="13"/>
      <c r="AB6" s="13"/>
      <c r="AC6" s="13"/>
      <c r="AD6" s="14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5"/>
      <c r="AP6" s="15"/>
      <c r="AQ6" s="13"/>
      <c r="AR6" s="15"/>
      <c r="AS6" s="15"/>
      <c r="AT6" s="13"/>
      <c r="AU6" s="13"/>
      <c r="AV6" s="13"/>
      <c r="AW6" s="13"/>
      <c r="AX6" s="13"/>
      <c r="AY6" s="15"/>
    </row>
    <row r="7" spans="1:51" x14ac:dyDescent="0.2">
      <c r="A7" s="13"/>
      <c r="B7" s="14"/>
      <c r="C7" s="13"/>
      <c r="D7" s="13"/>
      <c r="E7" s="14"/>
      <c r="F7" s="13"/>
      <c r="G7" s="14"/>
      <c r="H7" s="13"/>
      <c r="I7" s="13"/>
      <c r="J7" s="13"/>
      <c r="K7" s="13"/>
      <c r="L7" s="13"/>
      <c r="M7" s="13"/>
      <c r="N7" s="13"/>
      <c r="O7" s="13"/>
      <c r="P7" s="14"/>
      <c r="Q7" s="13"/>
      <c r="R7" s="13"/>
      <c r="S7" s="14"/>
      <c r="T7" s="14"/>
      <c r="U7" s="14"/>
      <c r="V7" s="14"/>
      <c r="W7" s="14"/>
      <c r="X7" s="13"/>
      <c r="Y7" s="13"/>
      <c r="Z7" s="15"/>
      <c r="AA7" s="13"/>
      <c r="AB7" s="13"/>
      <c r="AC7" s="13"/>
      <c r="AD7" s="14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5"/>
      <c r="AP7" s="15"/>
      <c r="AQ7" s="13"/>
      <c r="AR7" s="15"/>
      <c r="AS7" s="15"/>
      <c r="AT7" s="13"/>
      <c r="AU7" s="13"/>
      <c r="AV7" s="13"/>
      <c r="AW7" s="13"/>
      <c r="AX7" s="13"/>
      <c r="AY7" s="15"/>
    </row>
    <row r="8" spans="1:51" x14ac:dyDescent="0.2">
      <c r="A8" s="13"/>
      <c r="B8" s="14"/>
      <c r="C8" s="13"/>
      <c r="D8" s="13"/>
      <c r="E8" s="14"/>
      <c r="F8" s="13"/>
      <c r="G8" s="14"/>
      <c r="H8" s="13"/>
      <c r="I8" s="13"/>
      <c r="J8" s="13"/>
      <c r="K8" s="13"/>
      <c r="L8" s="13"/>
      <c r="M8" s="13"/>
      <c r="N8" s="13"/>
      <c r="O8" s="13"/>
      <c r="P8" s="14"/>
      <c r="Q8" s="13"/>
      <c r="R8" s="13"/>
      <c r="S8" s="14"/>
      <c r="T8" s="14"/>
      <c r="U8" s="14"/>
      <c r="V8" s="14"/>
      <c r="W8" s="14"/>
      <c r="X8" s="13"/>
      <c r="Y8" s="13"/>
      <c r="Z8" s="15"/>
      <c r="AA8" s="13"/>
      <c r="AB8" s="13"/>
      <c r="AC8" s="13"/>
      <c r="AD8" s="14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5"/>
      <c r="AP8" s="15"/>
      <c r="AQ8" s="13"/>
      <c r="AR8" s="15"/>
      <c r="AS8" s="15"/>
      <c r="AT8" s="13"/>
      <c r="AU8" s="13"/>
      <c r="AV8" s="13"/>
      <c r="AW8" s="13"/>
      <c r="AX8" s="13"/>
      <c r="AY8" s="15"/>
    </row>
    <row r="9" spans="1:51" x14ac:dyDescent="0.2">
      <c r="A9" s="13"/>
      <c r="B9" s="14"/>
      <c r="C9" s="13"/>
      <c r="D9" s="13"/>
      <c r="E9" s="14"/>
      <c r="F9" s="13"/>
      <c r="G9" s="14"/>
      <c r="H9" s="13"/>
      <c r="I9" s="13"/>
      <c r="J9" s="13"/>
      <c r="K9" s="13"/>
      <c r="L9" s="13"/>
      <c r="M9" s="13"/>
      <c r="N9" s="13"/>
      <c r="O9" s="13"/>
      <c r="P9" s="14"/>
      <c r="Q9" s="13"/>
      <c r="R9" s="13"/>
      <c r="S9" s="14"/>
      <c r="T9" s="14"/>
      <c r="U9" s="14"/>
      <c r="V9" s="14"/>
      <c r="W9" s="14"/>
      <c r="X9" s="13"/>
      <c r="Y9" s="13"/>
      <c r="Z9" s="15"/>
      <c r="AA9" s="13"/>
      <c r="AB9" s="13"/>
      <c r="AC9" s="13"/>
      <c r="AD9" s="14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5"/>
      <c r="AP9" s="15"/>
      <c r="AQ9" s="13"/>
      <c r="AR9" s="15"/>
      <c r="AS9" s="15"/>
      <c r="AT9" s="13"/>
      <c r="AU9" s="13"/>
      <c r="AV9" s="13"/>
      <c r="AW9" s="13"/>
      <c r="AX9" s="13"/>
      <c r="AY9" s="15"/>
    </row>
    <row r="10" spans="1:51" x14ac:dyDescent="0.2">
      <c r="A10" s="13"/>
      <c r="B10" s="14"/>
      <c r="C10" s="13"/>
      <c r="D10" s="13"/>
      <c r="E10" s="14"/>
      <c r="F10" s="13"/>
      <c r="G10" s="14"/>
      <c r="H10" s="13"/>
      <c r="I10" s="13"/>
      <c r="J10" s="13"/>
      <c r="K10" s="13"/>
      <c r="L10" s="13"/>
      <c r="M10" s="13"/>
      <c r="N10" s="13"/>
      <c r="O10" s="13"/>
      <c r="P10" s="14"/>
      <c r="Q10" s="13"/>
      <c r="R10" s="13"/>
      <c r="S10" s="14"/>
      <c r="T10" s="14"/>
      <c r="U10" s="14"/>
      <c r="V10" s="14"/>
      <c r="W10" s="14"/>
      <c r="X10" s="13"/>
      <c r="Y10" s="13"/>
      <c r="Z10" s="15"/>
      <c r="AA10" s="13"/>
      <c r="AB10" s="13"/>
      <c r="AC10" s="13"/>
      <c r="AD10" s="14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5"/>
      <c r="AP10" s="15"/>
      <c r="AQ10" s="13"/>
      <c r="AR10" s="15"/>
      <c r="AS10" s="15"/>
      <c r="AT10" s="13"/>
      <c r="AU10" s="13"/>
      <c r="AV10" s="13"/>
      <c r="AW10" s="13"/>
      <c r="AX10" s="13"/>
      <c r="AY10" s="15"/>
    </row>
    <row r="11" spans="1:51" x14ac:dyDescent="0.2">
      <c r="A11" s="13"/>
      <c r="B11" s="14"/>
      <c r="C11" s="13"/>
      <c r="D11" s="13"/>
      <c r="E11" s="14"/>
      <c r="F11" s="13"/>
      <c r="G11" s="14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13"/>
      <c r="S11" s="14"/>
      <c r="T11" s="14"/>
      <c r="U11" s="14"/>
      <c r="V11" s="14"/>
      <c r="W11" s="14"/>
      <c r="X11" s="13"/>
      <c r="Y11" s="13"/>
      <c r="Z11" s="15"/>
      <c r="AA11" s="13"/>
      <c r="AB11" s="13"/>
      <c r="AC11" s="13"/>
      <c r="AD11" s="14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5"/>
      <c r="AP11" s="15"/>
      <c r="AQ11" s="13"/>
      <c r="AR11" s="15"/>
      <c r="AS11" s="15"/>
      <c r="AT11" s="13"/>
      <c r="AU11" s="13"/>
      <c r="AV11" s="13"/>
      <c r="AW11" s="13"/>
      <c r="AX11" s="13"/>
      <c r="AY11" s="15"/>
    </row>
    <row r="12" spans="1:51" x14ac:dyDescent="0.2">
      <c r="A12" s="13"/>
      <c r="B12" s="14"/>
      <c r="C12" s="13"/>
      <c r="D12" s="13"/>
      <c r="E12" s="14"/>
      <c r="F12" s="13"/>
      <c r="G12" s="14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13"/>
      <c r="S12" s="14"/>
      <c r="T12" s="14"/>
      <c r="U12" s="14"/>
      <c r="V12" s="14"/>
      <c r="W12" s="14"/>
      <c r="X12" s="13"/>
      <c r="Y12" s="13"/>
      <c r="Z12" s="15"/>
      <c r="AA12" s="13"/>
      <c r="AB12" s="13"/>
      <c r="AC12" s="13"/>
      <c r="AD12" s="14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5"/>
      <c r="AP12" s="15"/>
      <c r="AQ12" s="13"/>
      <c r="AR12" s="15"/>
      <c r="AS12" s="15"/>
      <c r="AT12" s="13"/>
      <c r="AU12" s="13"/>
      <c r="AV12" s="13"/>
      <c r="AW12" s="13"/>
      <c r="AX12" s="13"/>
      <c r="AY12" s="15"/>
    </row>
    <row r="13" spans="1:51" x14ac:dyDescent="0.2">
      <c r="A13" s="13"/>
      <c r="B13" s="14"/>
      <c r="C13" s="13"/>
      <c r="D13" s="13"/>
      <c r="E13" s="14"/>
      <c r="F13" s="13"/>
      <c r="G13" s="14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13"/>
      <c r="S13" s="14"/>
      <c r="T13" s="14"/>
      <c r="U13" s="14"/>
      <c r="V13" s="14"/>
      <c r="W13" s="14"/>
      <c r="X13" s="13"/>
      <c r="Y13" s="13"/>
      <c r="Z13" s="15"/>
      <c r="AA13" s="13"/>
      <c r="AB13" s="13"/>
      <c r="AC13" s="13"/>
      <c r="AD13" s="14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5"/>
      <c r="AP13" s="15"/>
      <c r="AQ13" s="13"/>
      <c r="AR13" s="15"/>
      <c r="AS13" s="15"/>
      <c r="AT13" s="13"/>
      <c r="AU13" s="13"/>
      <c r="AV13" s="13"/>
      <c r="AW13" s="13"/>
      <c r="AX13" s="13"/>
      <c r="AY13" s="15"/>
    </row>
    <row r="14" spans="1:51" x14ac:dyDescent="0.2">
      <c r="A14" s="13"/>
      <c r="B14" s="14"/>
      <c r="C14" s="13"/>
      <c r="D14" s="13"/>
      <c r="E14" s="14"/>
      <c r="F14" s="13"/>
      <c r="G14" s="14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13"/>
      <c r="S14" s="14"/>
      <c r="T14" s="14"/>
      <c r="U14" s="14"/>
      <c r="V14" s="14"/>
      <c r="W14" s="14"/>
      <c r="X14" s="13"/>
      <c r="Y14" s="13"/>
      <c r="Z14" s="15"/>
      <c r="AA14" s="13"/>
      <c r="AB14" s="13"/>
      <c r="AC14" s="13"/>
      <c r="AD14" s="1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5"/>
      <c r="AP14" s="15"/>
      <c r="AQ14" s="13"/>
      <c r="AR14" s="15"/>
      <c r="AS14" s="15"/>
      <c r="AT14" s="13"/>
      <c r="AU14" s="13"/>
      <c r="AV14" s="13"/>
      <c r="AW14" s="13"/>
      <c r="AX14" s="13"/>
      <c r="AY14" s="15"/>
    </row>
    <row r="15" spans="1:51" x14ac:dyDescent="0.2">
      <c r="A15" s="13"/>
      <c r="B15" s="14"/>
      <c r="C15" s="13"/>
      <c r="D15" s="13"/>
      <c r="E15" s="14"/>
      <c r="F15" s="13"/>
      <c r="G15" s="14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13"/>
      <c r="S15" s="14"/>
      <c r="T15" s="14"/>
      <c r="U15" s="14"/>
      <c r="V15" s="14"/>
      <c r="W15" s="14"/>
      <c r="X15" s="13"/>
      <c r="Y15" s="13"/>
      <c r="Z15" s="15"/>
      <c r="AA15" s="13"/>
      <c r="AB15" s="13"/>
      <c r="AC15" s="13"/>
      <c r="AD15" s="14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5"/>
      <c r="AP15" s="15"/>
      <c r="AQ15" s="13"/>
      <c r="AR15" s="15"/>
      <c r="AS15" s="15"/>
      <c r="AT15" s="13"/>
      <c r="AU15" s="13"/>
      <c r="AV15" s="13"/>
      <c r="AW15" s="13"/>
      <c r="AX15" s="13"/>
      <c r="AY15" s="15"/>
    </row>
    <row r="16" spans="1:51" x14ac:dyDescent="0.2">
      <c r="A16" s="13"/>
      <c r="B16" s="14"/>
      <c r="C16" s="13"/>
      <c r="D16" s="13"/>
      <c r="E16" s="14"/>
      <c r="F16" s="13"/>
      <c r="G16" s="14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13"/>
      <c r="S16" s="14"/>
      <c r="T16" s="14"/>
      <c r="U16" s="14"/>
      <c r="V16" s="14"/>
      <c r="W16" s="14"/>
      <c r="X16" s="13"/>
      <c r="Y16" s="13"/>
      <c r="Z16" s="15"/>
      <c r="AA16" s="13"/>
      <c r="AB16" s="13"/>
      <c r="AC16" s="13"/>
      <c r="AD16" s="14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5"/>
      <c r="AP16" s="15"/>
      <c r="AQ16" s="13"/>
      <c r="AR16" s="15"/>
      <c r="AS16" s="15"/>
      <c r="AT16" s="13"/>
      <c r="AU16" s="13"/>
      <c r="AV16" s="13"/>
      <c r="AW16" s="13"/>
      <c r="AX16" s="13"/>
      <c r="AY16" s="15"/>
    </row>
    <row r="17" spans="1:51" x14ac:dyDescent="0.2">
      <c r="A17" s="13"/>
      <c r="B17" s="14"/>
      <c r="C17" s="13"/>
      <c r="D17" s="13"/>
      <c r="E17" s="14"/>
      <c r="F17" s="13"/>
      <c r="G17" s="14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13"/>
      <c r="S17" s="14"/>
      <c r="T17" s="14"/>
      <c r="U17" s="14"/>
      <c r="V17" s="14"/>
      <c r="W17" s="14"/>
      <c r="X17" s="13"/>
      <c r="Y17" s="13"/>
      <c r="Z17" s="15"/>
      <c r="AA17" s="13"/>
      <c r="AB17" s="13"/>
      <c r="AC17" s="13"/>
      <c r="AD17" s="14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5"/>
      <c r="AP17" s="15"/>
      <c r="AQ17" s="13"/>
      <c r="AR17" s="15"/>
      <c r="AS17" s="15"/>
      <c r="AT17" s="13"/>
      <c r="AU17" s="13"/>
      <c r="AV17" s="13"/>
      <c r="AW17" s="13"/>
      <c r="AX17" s="13"/>
      <c r="AY17" s="15"/>
    </row>
    <row r="18" spans="1:51" x14ac:dyDescent="0.2">
      <c r="A18" s="13"/>
      <c r="B18" s="14"/>
      <c r="C18" s="13"/>
      <c r="D18" s="13"/>
      <c r="E18" s="14"/>
      <c r="F18" s="13"/>
      <c r="G18" s="14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13"/>
      <c r="S18" s="14"/>
      <c r="T18" s="14"/>
      <c r="U18" s="14"/>
      <c r="V18" s="14"/>
      <c r="W18" s="14"/>
      <c r="X18" s="13"/>
      <c r="Y18" s="13"/>
      <c r="Z18" s="15"/>
      <c r="AA18" s="13"/>
      <c r="AB18" s="13"/>
      <c r="AC18" s="13"/>
      <c r="AD18" s="14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5"/>
      <c r="AP18" s="13"/>
      <c r="AQ18" s="13"/>
      <c r="AR18" s="15"/>
      <c r="AS18" s="15"/>
      <c r="AT18" s="13"/>
      <c r="AU18" s="13"/>
      <c r="AV18" s="13"/>
      <c r="AW18" s="13"/>
      <c r="AX18" s="13"/>
      <c r="AY18" s="15"/>
    </row>
    <row r="19" spans="1:51" x14ac:dyDescent="0.2">
      <c r="A19" s="13"/>
      <c r="B19" s="14"/>
      <c r="C19" s="13"/>
      <c r="D19" s="13"/>
      <c r="E19" s="14"/>
      <c r="F19" s="13"/>
      <c r="G19" s="14"/>
      <c r="H19" s="13"/>
      <c r="I19" s="13"/>
      <c r="J19" s="13"/>
      <c r="K19" s="13"/>
      <c r="L19" s="13"/>
      <c r="M19" s="13"/>
      <c r="N19" s="13"/>
      <c r="O19" s="13"/>
      <c r="P19" s="14"/>
      <c r="Q19" s="13"/>
      <c r="R19" s="13"/>
      <c r="S19" s="14"/>
      <c r="T19" s="14"/>
      <c r="U19" s="14"/>
      <c r="V19" s="14"/>
      <c r="W19" s="14"/>
      <c r="X19" s="13"/>
      <c r="Y19" s="13"/>
      <c r="Z19" s="15"/>
      <c r="AA19" s="13"/>
      <c r="AB19" s="13"/>
      <c r="AC19" s="13"/>
      <c r="AD19" s="14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5"/>
      <c r="AP19" s="15"/>
      <c r="AQ19" s="13"/>
      <c r="AR19" s="15"/>
      <c r="AS19" s="15"/>
      <c r="AT19" s="13"/>
      <c r="AU19" s="13"/>
      <c r="AV19" s="13"/>
      <c r="AW19" s="13"/>
      <c r="AX19" s="13"/>
      <c r="AY19" s="15"/>
    </row>
    <row r="20" spans="1:51" x14ac:dyDescent="0.2">
      <c r="A20" s="13"/>
      <c r="B20" s="14"/>
      <c r="C20" s="13"/>
      <c r="D20" s="13"/>
      <c r="E20" s="14"/>
      <c r="F20" s="13"/>
      <c r="G20" s="14"/>
      <c r="H20" s="13"/>
      <c r="I20" s="13"/>
      <c r="J20" s="13"/>
      <c r="K20" s="13"/>
      <c r="L20" s="13"/>
      <c r="M20" s="13"/>
      <c r="N20" s="13"/>
      <c r="O20" s="13"/>
      <c r="P20" s="14"/>
      <c r="Q20" s="13"/>
      <c r="R20" s="13"/>
      <c r="S20" s="14"/>
      <c r="T20" s="14"/>
      <c r="U20" s="14"/>
      <c r="V20" s="14"/>
      <c r="W20" s="14"/>
      <c r="X20" s="13"/>
      <c r="Y20" s="13"/>
      <c r="Z20" s="15"/>
      <c r="AA20" s="13"/>
      <c r="AB20" s="13"/>
      <c r="AC20" s="13"/>
      <c r="AD20" s="14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5"/>
      <c r="AP20" s="15"/>
      <c r="AQ20" s="13"/>
      <c r="AR20" s="15"/>
      <c r="AS20" s="15"/>
      <c r="AT20" s="13"/>
      <c r="AU20" s="13"/>
      <c r="AV20" s="13"/>
      <c r="AW20" s="13"/>
      <c r="AX20" s="13"/>
      <c r="AY20" s="15"/>
    </row>
    <row r="21" spans="1:51" x14ac:dyDescent="0.2">
      <c r="A21" s="13"/>
      <c r="B21" s="14"/>
      <c r="C21" s="13"/>
      <c r="D21" s="13"/>
      <c r="E21" s="14"/>
      <c r="F21" s="13"/>
      <c r="G21" s="14"/>
      <c r="H21" s="13"/>
      <c r="I21" s="13"/>
      <c r="J21" s="13"/>
      <c r="K21" s="13"/>
      <c r="L21" s="13"/>
      <c r="M21" s="13"/>
      <c r="N21" s="13"/>
      <c r="O21" s="13"/>
      <c r="P21" s="14"/>
      <c r="Q21" s="13"/>
      <c r="R21" s="13"/>
      <c r="S21" s="14"/>
      <c r="T21" s="14"/>
      <c r="U21" s="14"/>
      <c r="V21" s="14"/>
      <c r="W21" s="14"/>
      <c r="X21" s="13"/>
      <c r="Y21" s="13"/>
      <c r="Z21" s="15"/>
      <c r="AA21" s="13"/>
      <c r="AB21" s="13"/>
      <c r="AC21" s="13"/>
      <c r="AD21" s="14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5"/>
      <c r="AP21" s="15"/>
      <c r="AQ21" s="13"/>
      <c r="AR21" s="15"/>
      <c r="AS21" s="15"/>
      <c r="AT21" s="13"/>
      <c r="AU21" s="13"/>
      <c r="AV21" s="13"/>
      <c r="AW21" s="13"/>
      <c r="AX21" s="13"/>
      <c r="AY21" s="15"/>
    </row>
    <row r="22" spans="1:51" x14ac:dyDescent="0.2">
      <c r="A22" s="13"/>
      <c r="B22" s="14"/>
      <c r="C22" s="13"/>
      <c r="D22" s="13"/>
      <c r="E22" s="14"/>
      <c r="F22" s="13"/>
      <c r="G22" s="14"/>
      <c r="H22" s="13"/>
      <c r="I22" s="13"/>
      <c r="J22" s="13"/>
      <c r="K22" s="13"/>
      <c r="L22" s="13"/>
      <c r="M22" s="13"/>
      <c r="N22" s="13"/>
      <c r="O22" s="13"/>
      <c r="P22" s="14"/>
      <c r="Q22" s="13"/>
      <c r="R22" s="13"/>
      <c r="S22" s="14"/>
      <c r="T22" s="14"/>
      <c r="U22" s="14"/>
      <c r="V22" s="14"/>
      <c r="W22" s="14"/>
      <c r="X22" s="13"/>
      <c r="Y22" s="13"/>
      <c r="Z22" s="15"/>
      <c r="AA22" s="13"/>
      <c r="AB22" s="13"/>
      <c r="AC22" s="13"/>
      <c r="AD22" s="14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5"/>
      <c r="AP22" s="15"/>
      <c r="AQ22" s="13"/>
      <c r="AR22" s="15"/>
      <c r="AS22" s="15"/>
      <c r="AT22" s="13"/>
      <c r="AU22" s="13"/>
      <c r="AV22" s="13"/>
      <c r="AW22" s="13"/>
      <c r="AX22" s="13"/>
      <c r="AY22" s="15"/>
    </row>
    <row r="23" spans="1:51" x14ac:dyDescent="0.2">
      <c r="A23" s="13"/>
      <c r="B23" s="14"/>
      <c r="C23" s="13"/>
      <c r="D23" s="13"/>
      <c r="E23" s="14"/>
      <c r="F23" s="13"/>
      <c r="G23" s="14"/>
      <c r="H23" s="13"/>
      <c r="I23" s="13"/>
      <c r="J23" s="13"/>
      <c r="K23" s="13"/>
      <c r="L23" s="13"/>
      <c r="M23" s="13"/>
      <c r="N23" s="13"/>
      <c r="O23" s="13"/>
      <c r="P23" s="14"/>
      <c r="Q23" s="13"/>
      <c r="R23" s="13"/>
      <c r="S23" s="14"/>
      <c r="T23" s="14"/>
      <c r="U23" s="14"/>
      <c r="V23" s="14"/>
      <c r="W23" s="14"/>
      <c r="X23" s="13"/>
      <c r="Y23" s="13"/>
      <c r="Z23" s="15"/>
      <c r="AA23" s="13"/>
      <c r="AB23" s="13"/>
      <c r="AC23" s="13"/>
      <c r="AD23" s="14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5"/>
      <c r="AP23" s="15"/>
      <c r="AQ23" s="13"/>
      <c r="AR23" s="15"/>
      <c r="AS23" s="15"/>
      <c r="AT23" s="13"/>
      <c r="AU23" s="13"/>
      <c r="AV23" s="13"/>
      <c r="AW23" s="13"/>
      <c r="AX23" s="13"/>
      <c r="AY23" s="15"/>
    </row>
    <row r="24" spans="1:51" x14ac:dyDescent="0.2">
      <c r="A24" s="13"/>
      <c r="B24" s="14"/>
      <c r="C24" s="13"/>
      <c r="D24" s="13"/>
      <c r="E24" s="14"/>
      <c r="F24" s="13"/>
      <c r="G24" s="14"/>
      <c r="H24" s="13"/>
      <c r="I24" s="13"/>
      <c r="J24" s="13"/>
      <c r="K24" s="13"/>
      <c r="L24" s="13"/>
      <c r="M24" s="13"/>
      <c r="N24" s="13"/>
      <c r="O24" s="13"/>
      <c r="P24" s="14"/>
      <c r="Q24" s="13"/>
      <c r="R24" s="13"/>
      <c r="S24" s="14"/>
      <c r="T24" s="14"/>
      <c r="U24" s="14"/>
      <c r="V24" s="14"/>
      <c r="W24" s="14"/>
      <c r="X24" s="13"/>
      <c r="Y24" s="13"/>
      <c r="Z24" s="15"/>
      <c r="AA24" s="13"/>
      <c r="AB24" s="13"/>
      <c r="AC24" s="13"/>
      <c r="AD24" s="14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5"/>
      <c r="AP24" s="15"/>
      <c r="AQ24" s="13"/>
      <c r="AR24" s="15"/>
      <c r="AS24" s="15"/>
      <c r="AT24" s="13"/>
      <c r="AU24" s="13"/>
      <c r="AV24" s="13"/>
      <c r="AW24" s="13"/>
      <c r="AX24" s="13"/>
      <c r="AY24" s="15"/>
    </row>
    <row r="25" spans="1:51" x14ac:dyDescent="0.2">
      <c r="A25" s="13"/>
      <c r="B25" s="14"/>
      <c r="C25" s="13"/>
      <c r="D25" s="13"/>
      <c r="E25" s="14"/>
      <c r="F25" s="13"/>
      <c r="G25" s="14"/>
      <c r="H25" s="13"/>
      <c r="I25" s="13"/>
      <c r="J25" s="13"/>
      <c r="K25" s="13"/>
      <c r="L25" s="13"/>
      <c r="M25" s="13"/>
      <c r="N25" s="13"/>
      <c r="O25" s="13"/>
      <c r="P25" s="14"/>
      <c r="Q25" s="13"/>
      <c r="R25" s="13"/>
      <c r="S25" s="14"/>
      <c r="T25" s="14"/>
      <c r="U25" s="14"/>
      <c r="V25" s="14"/>
      <c r="W25" s="14"/>
      <c r="X25" s="13"/>
      <c r="Y25" s="13"/>
      <c r="Z25" s="15"/>
      <c r="AA25" s="13"/>
      <c r="AB25" s="13"/>
      <c r="AC25" s="13"/>
      <c r="AD25" s="14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5"/>
      <c r="AP25" s="15"/>
      <c r="AQ25" s="13"/>
      <c r="AR25" s="15"/>
      <c r="AS25" s="15"/>
      <c r="AT25" s="13"/>
      <c r="AU25" s="13"/>
      <c r="AV25" s="13"/>
      <c r="AW25" s="13"/>
      <c r="AX25" s="13"/>
      <c r="AY25" s="15"/>
    </row>
    <row r="26" spans="1:51" x14ac:dyDescent="0.2">
      <c r="A26" s="13"/>
      <c r="B26" s="14"/>
      <c r="C26" s="13"/>
      <c r="D26" s="13"/>
      <c r="E26" s="14"/>
      <c r="F26" s="13"/>
      <c r="G26" s="14"/>
      <c r="H26" s="13"/>
      <c r="I26" s="13"/>
      <c r="J26" s="13"/>
      <c r="K26" s="13"/>
      <c r="L26" s="13"/>
      <c r="M26" s="13"/>
      <c r="N26" s="13"/>
      <c r="O26" s="13"/>
      <c r="P26" s="14"/>
      <c r="Q26" s="13"/>
      <c r="R26" s="13"/>
      <c r="S26" s="14"/>
      <c r="T26" s="14"/>
      <c r="U26" s="14"/>
      <c r="V26" s="14"/>
      <c r="W26" s="14"/>
      <c r="X26" s="13"/>
      <c r="Y26" s="13"/>
      <c r="Z26" s="15"/>
      <c r="AA26" s="13"/>
      <c r="AB26" s="13"/>
      <c r="AC26" s="13"/>
      <c r="AD26" s="14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5"/>
      <c r="AP26" s="15"/>
      <c r="AQ26" s="13"/>
      <c r="AR26" s="15"/>
      <c r="AS26" s="15"/>
      <c r="AT26" s="13"/>
      <c r="AU26" s="13"/>
      <c r="AV26" s="13"/>
      <c r="AW26" s="13"/>
      <c r="AX26" s="13"/>
      <c r="AY26" s="15"/>
    </row>
    <row r="27" spans="1:51" x14ac:dyDescent="0.2">
      <c r="A27" s="13"/>
      <c r="B27" s="14"/>
      <c r="C27" s="13"/>
      <c r="D27" s="13"/>
      <c r="E27" s="14"/>
      <c r="F27" s="13"/>
      <c r="G27" s="14"/>
      <c r="H27" s="13"/>
      <c r="I27" s="13"/>
      <c r="J27" s="13"/>
      <c r="K27" s="13"/>
      <c r="L27" s="13"/>
      <c r="M27" s="13"/>
      <c r="N27" s="13"/>
      <c r="O27" s="13"/>
      <c r="P27" s="14"/>
      <c r="Q27" s="13"/>
      <c r="R27" s="13"/>
      <c r="S27" s="14"/>
      <c r="T27" s="14"/>
      <c r="U27" s="14"/>
      <c r="V27" s="14"/>
      <c r="W27" s="14"/>
      <c r="X27" s="13"/>
      <c r="Y27" s="13"/>
      <c r="Z27" s="15"/>
      <c r="AA27" s="13"/>
      <c r="AB27" s="13"/>
      <c r="AC27" s="13"/>
      <c r="AD27" s="14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5"/>
      <c r="AP27" s="15"/>
      <c r="AQ27" s="13"/>
      <c r="AR27" s="15"/>
      <c r="AS27" s="15"/>
      <c r="AT27" s="13"/>
      <c r="AU27" s="13"/>
      <c r="AV27" s="13"/>
      <c r="AW27" s="13"/>
      <c r="AX27" s="13"/>
      <c r="AY27" s="15"/>
    </row>
    <row r="28" spans="1:51" x14ac:dyDescent="0.2">
      <c r="A28" s="13"/>
      <c r="B28" s="14"/>
      <c r="C28" s="13"/>
      <c r="D28" s="13"/>
      <c r="E28" s="14"/>
      <c r="F28" s="13"/>
      <c r="G28" s="14"/>
      <c r="H28" s="13"/>
      <c r="I28" s="13"/>
      <c r="J28" s="13"/>
      <c r="K28" s="13"/>
      <c r="L28" s="13"/>
      <c r="M28" s="13"/>
      <c r="N28" s="13"/>
      <c r="O28" s="13"/>
      <c r="P28" s="14"/>
      <c r="Q28" s="13"/>
      <c r="R28" s="13"/>
      <c r="S28" s="14"/>
      <c r="T28" s="14"/>
      <c r="U28" s="14"/>
      <c r="V28" s="14"/>
      <c r="W28" s="14"/>
      <c r="X28" s="13"/>
      <c r="Y28" s="13"/>
      <c r="Z28" s="15"/>
      <c r="AA28" s="13"/>
      <c r="AB28" s="13"/>
      <c r="AC28" s="13"/>
      <c r="AD28" s="14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5"/>
      <c r="AP28" s="15"/>
      <c r="AQ28" s="13"/>
      <c r="AR28" s="15"/>
      <c r="AS28" s="15"/>
      <c r="AT28" s="13"/>
      <c r="AU28" s="13"/>
      <c r="AV28" s="13"/>
      <c r="AW28" s="13"/>
      <c r="AX28" s="13"/>
      <c r="AY28" s="15"/>
    </row>
    <row r="29" spans="1:51" x14ac:dyDescent="0.2">
      <c r="A29" s="13"/>
      <c r="B29" s="14"/>
      <c r="C29" s="13"/>
      <c r="D29" s="13"/>
      <c r="E29" s="14"/>
      <c r="F29" s="13"/>
      <c r="G29" s="14"/>
      <c r="H29" s="13"/>
      <c r="I29" s="13"/>
      <c r="J29" s="13"/>
      <c r="K29" s="13"/>
      <c r="L29" s="13"/>
      <c r="M29" s="13"/>
      <c r="N29" s="13"/>
      <c r="O29" s="13"/>
      <c r="P29" s="14"/>
      <c r="Q29" s="13"/>
      <c r="R29" s="13"/>
      <c r="S29" s="14"/>
      <c r="T29" s="14"/>
      <c r="U29" s="14"/>
      <c r="V29" s="14"/>
      <c r="W29" s="14"/>
      <c r="X29" s="13"/>
      <c r="Y29" s="13"/>
      <c r="Z29" s="15"/>
      <c r="AA29" s="13"/>
      <c r="AB29" s="13"/>
      <c r="AC29" s="13"/>
      <c r="AD29" s="14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5"/>
      <c r="AP29" s="15"/>
      <c r="AQ29" s="13"/>
      <c r="AR29" s="15"/>
      <c r="AS29" s="15"/>
      <c r="AT29" s="13"/>
      <c r="AU29" s="13"/>
      <c r="AV29" s="13"/>
      <c r="AW29" s="13"/>
      <c r="AX29" s="13"/>
      <c r="AY29" s="15"/>
    </row>
    <row r="30" spans="1:51" x14ac:dyDescent="0.2">
      <c r="A30" s="13"/>
      <c r="B30" s="14"/>
      <c r="C30" s="13"/>
      <c r="D30" s="13"/>
      <c r="E30" s="14"/>
      <c r="F30" s="13"/>
      <c r="G30" s="14"/>
      <c r="H30" s="13"/>
      <c r="I30" s="13"/>
      <c r="J30" s="13"/>
      <c r="K30" s="13"/>
      <c r="L30" s="13"/>
      <c r="M30" s="13"/>
      <c r="N30" s="13"/>
      <c r="O30" s="13"/>
      <c r="P30" s="14"/>
      <c r="Q30" s="13"/>
      <c r="R30" s="13"/>
      <c r="S30" s="14"/>
      <c r="T30" s="14"/>
      <c r="U30" s="14"/>
      <c r="V30" s="14"/>
      <c r="W30" s="14"/>
      <c r="X30" s="13"/>
      <c r="Y30" s="13"/>
      <c r="Z30" s="15"/>
      <c r="AA30" s="13"/>
      <c r="AB30" s="13"/>
      <c r="AC30" s="13"/>
      <c r="AD30" s="14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5"/>
      <c r="AP30" s="15"/>
      <c r="AQ30" s="13"/>
      <c r="AR30" s="15"/>
      <c r="AS30" s="15"/>
      <c r="AT30" s="13"/>
      <c r="AU30" s="13"/>
      <c r="AV30" s="13"/>
      <c r="AW30" s="13"/>
      <c r="AX30" s="13"/>
      <c r="AY30" s="15"/>
    </row>
    <row r="31" spans="1:51" x14ac:dyDescent="0.2">
      <c r="A31" s="13"/>
      <c r="B31" s="14"/>
      <c r="C31" s="13"/>
      <c r="D31" s="13"/>
      <c r="E31" s="14"/>
      <c r="F31" s="13"/>
      <c r="G31" s="14"/>
      <c r="H31" s="13"/>
      <c r="I31" s="13"/>
      <c r="J31" s="13"/>
      <c r="K31" s="13"/>
      <c r="L31" s="13"/>
      <c r="M31" s="13"/>
      <c r="N31" s="13"/>
      <c r="O31" s="13"/>
      <c r="P31" s="14"/>
      <c r="Q31" s="13"/>
      <c r="R31" s="13"/>
      <c r="S31" s="14"/>
      <c r="T31" s="14"/>
      <c r="U31" s="14"/>
      <c r="V31" s="14"/>
      <c r="W31" s="14"/>
      <c r="X31" s="13"/>
      <c r="Y31" s="13"/>
      <c r="Z31" s="15"/>
      <c r="AA31" s="13"/>
      <c r="AB31" s="13"/>
      <c r="AC31" s="13"/>
      <c r="AD31" s="14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5"/>
      <c r="AP31" s="15"/>
      <c r="AQ31" s="13"/>
      <c r="AR31" s="15"/>
      <c r="AS31" s="15"/>
      <c r="AT31" s="13"/>
      <c r="AU31" s="13"/>
      <c r="AV31" s="13"/>
      <c r="AW31" s="13"/>
      <c r="AX31" s="13"/>
      <c r="AY31" s="15"/>
    </row>
    <row r="32" spans="1:51" x14ac:dyDescent="0.2">
      <c r="A32" s="13"/>
      <c r="B32" s="14"/>
      <c r="C32" s="13"/>
      <c r="D32" s="13"/>
      <c r="E32" s="14"/>
      <c r="F32" s="13"/>
      <c r="G32" s="14"/>
      <c r="H32" s="13"/>
      <c r="I32" s="13"/>
      <c r="J32" s="13"/>
      <c r="K32" s="13"/>
      <c r="L32" s="13"/>
      <c r="M32" s="13"/>
      <c r="N32" s="13"/>
      <c r="O32" s="13"/>
      <c r="P32" s="14"/>
      <c r="Q32" s="13"/>
      <c r="R32" s="13"/>
      <c r="S32" s="14"/>
      <c r="T32" s="14"/>
      <c r="U32" s="14"/>
      <c r="V32" s="14"/>
      <c r="W32" s="14"/>
      <c r="X32" s="13"/>
      <c r="Y32" s="13"/>
      <c r="Z32" s="15"/>
      <c r="AA32" s="13"/>
      <c r="AB32" s="13"/>
      <c r="AC32" s="13"/>
      <c r="AD32" s="14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5"/>
      <c r="AP32" s="15"/>
      <c r="AQ32" s="13"/>
      <c r="AR32" s="15"/>
      <c r="AS32" s="15"/>
      <c r="AT32" s="13"/>
      <c r="AU32" s="13"/>
      <c r="AV32" s="13"/>
      <c r="AW32" s="13"/>
      <c r="AX32" s="13"/>
      <c r="AY32" s="15"/>
    </row>
    <row r="33" spans="1:51" x14ac:dyDescent="0.2">
      <c r="A33" s="13"/>
      <c r="B33" s="14"/>
      <c r="C33" s="13"/>
      <c r="D33" s="13"/>
      <c r="E33" s="14"/>
      <c r="F33" s="13"/>
      <c r="G33" s="14"/>
      <c r="H33" s="13"/>
      <c r="I33" s="13"/>
      <c r="J33" s="13"/>
      <c r="K33" s="13"/>
      <c r="L33" s="13"/>
      <c r="M33" s="13"/>
      <c r="N33" s="13"/>
      <c r="O33" s="13"/>
      <c r="P33" s="14"/>
      <c r="Q33" s="13"/>
      <c r="R33" s="13"/>
      <c r="S33" s="14"/>
      <c r="T33" s="14"/>
      <c r="U33" s="14"/>
      <c r="V33" s="14"/>
      <c r="W33" s="14"/>
      <c r="X33" s="13"/>
      <c r="Y33" s="13"/>
      <c r="Z33" s="15"/>
      <c r="AA33" s="13"/>
      <c r="AB33" s="13"/>
      <c r="AC33" s="13"/>
      <c r="AD33" s="14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5"/>
      <c r="AP33" s="15"/>
      <c r="AQ33" s="13"/>
      <c r="AR33" s="15"/>
      <c r="AS33" s="15"/>
      <c r="AT33" s="13"/>
      <c r="AU33" s="13"/>
      <c r="AV33" s="13"/>
      <c r="AW33" s="13"/>
      <c r="AX33" s="13"/>
      <c r="AY33" s="15"/>
    </row>
    <row r="34" spans="1:51" x14ac:dyDescent="0.2">
      <c r="A34" s="13"/>
      <c r="B34" s="14"/>
      <c r="C34" s="13"/>
      <c r="D34" s="13"/>
      <c r="E34" s="14"/>
      <c r="F34" s="13"/>
      <c r="G34" s="14"/>
      <c r="H34" s="13"/>
      <c r="I34" s="13"/>
      <c r="J34" s="13"/>
      <c r="K34" s="13"/>
      <c r="L34" s="13"/>
      <c r="M34" s="13"/>
      <c r="N34" s="13"/>
      <c r="O34" s="13"/>
      <c r="P34" s="14"/>
      <c r="Q34" s="13"/>
      <c r="R34" s="13"/>
      <c r="S34" s="14"/>
      <c r="T34" s="14"/>
      <c r="U34" s="14"/>
      <c r="V34" s="14"/>
      <c r="W34" s="14"/>
      <c r="X34" s="13"/>
      <c r="Y34" s="13"/>
      <c r="Z34" s="15"/>
      <c r="AA34" s="13"/>
      <c r="AB34" s="13"/>
      <c r="AC34" s="13"/>
      <c r="AD34" s="14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5"/>
      <c r="AP34" s="15"/>
      <c r="AQ34" s="13"/>
      <c r="AR34" s="15"/>
      <c r="AS34" s="15"/>
      <c r="AT34" s="13"/>
      <c r="AU34" s="13"/>
      <c r="AV34" s="13"/>
      <c r="AW34" s="13"/>
      <c r="AX34" s="13"/>
      <c r="AY34" s="15"/>
    </row>
    <row r="35" spans="1:51" x14ac:dyDescent="0.2">
      <c r="A35" s="13"/>
      <c r="B35" s="14"/>
      <c r="C35" s="13"/>
      <c r="D35" s="13"/>
      <c r="E35" s="14"/>
      <c r="F35" s="13"/>
      <c r="G35" s="14"/>
      <c r="H35" s="13"/>
      <c r="I35" s="13"/>
      <c r="J35" s="13"/>
      <c r="K35" s="13"/>
      <c r="L35" s="13"/>
      <c r="M35" s="13"/>
      <c r="N35" s="13"/>
      <c r="O35" s="13"/>
      <c r="P35" s="14"/>
      <c r="Q35" s="13"/>
      <c r="R35" s="13"/>
      <c r="S35" s="14"/>
      <c r="T35" s="14"/>
      <c r="U35" s="14"/>
      <c r="V35" s="14"/>
      <c r="W35" s="14"/>
      <c r="X35" s="13"/>
      <c r="Y35" s="13"/>
      <c r="Z35" s="15"/>
      <c r="AA35" s="13"/>
      <c r="AB35" s="13"/>
      <c r="AC35" s="13"/>
      <c r="AD35" s="14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5"/>
      <c r="AP35" s="15"/>
      <c r="AQ35" s="13"/>
      <c r="AR35" s="15"/>
      <c r="AS35" s="15"/>
      <c r="AT35" s="13"/>
      <c r="AU35" s="13"/>
      <c r="AV35" s="13"/>
      <c r="AW35" s="13"/>
      <c r="AX35" s="13"/>
      <c r="AY35" s="15"/>
    </row>
    <row r="36" spans="1:51" x14ac:dyDescent="0.2">
      <c r="A36" s="13"/>
      <c r="B36" s="14"/>
      <c r="C36" s="13"/>
      <c r="D36" s="13"/>
      <c r="E36" s="14"/>
      <c r="F36" s="13"/>
      <c r="G36" s="14"/>
      <c r="H36" s="13"/>
      <c r="I36" s="13"/>
      <c r="J36" s="13"/>
      <c r="K36" s="13"/>
      <c r="L36" s="13"/>
      <c r="M36" s="13"/>
      <c r="N36" s="13"/>
      <c r="O36" s="13"/>
      <c r="P36" s="14"/>
      <c r="Q36" s="13"/>
      <c r="R36" s="13"/>
      <c r="S36" s="14"/>
      <c r="T36" s="14"/>
      <c r="U36" s="14"/>
      <c r="V36" s="14"/>
      <c r="W36" s="14"/>
      <c r="X36" s="13"/>
      <c r="Y36" s="13"/>
      <c r="Z36" s="15"/>
      <c r="AA36" s="13"/>
      <c r="AB36" s="13"/>
      <c r="AC36" s="13"/>
      <c r="AD36" s="14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5"/>
      <c r="AP36" s="15"/>
      <c r="AQ36" s="13"/>
      <c r="AR36" s="15"/>
      <c r="AS36" s="15"/>
      <c r="AT36" s="13"/>
      <c r="AU36" s="13"/>
      <c r="AV36" s="13"/>
      <c r="AW36" s="13"/>
      <c r="AX36" s="13"/>
      <c r="AY36" s="15"/>
    </row>
    <row r="37" spans="1:51" x14ac:dyDescent="0.2">
      <c r="A37" s="13"/>
      <c r="B37" s="14"/>
      <c r="C37" s="13"/>
      <c r="D37" s="13"/>
      <c r="E37" s="14"/>
      <c r="F37" s="13"/>
      <c r="G37" s="14"/>
      <c r="H37" s="13"/>
      <c r="I37" s="13"/>
      <c r="J37" s="13"/>
      <c r="K37" s="13"/>
      <c r="L37" s="13"/>
      <c r="M37" s="13"/>
      <c r="N37" s="13"/>
      <c r="O37" s="13"/>
      <c r="P37" s="14"/>
      <c r="Q37" s="13"/>
      <c r="R37" s="13"/>
      <c r="S37" s="14"/>
      <c r="T37" s="14"/>
      <c r="U37" s="14"/>
      <c r="V37" s="14"/>
      <c r="W37" s="14"/>
      <c r="X37" s="13"/>
      <c r="Y37" s="13"/>
      <c r="Z37" s="15"/>
      <c r="AA37" s="13"/>
      <c r="AB37" s="13"/>
      <c r="AC37" s="13"/>
      <c r="AD37" s="14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5"/>
      <c r="AP37" s="15"/>
      <c r="AQ37" s="13"/>
      <c r="AR37" s="15"/>
      <c r="AS37" s="15"/>
      <c r="AT37" s="13"/>
      <c r="AU37" s="13"/>
      <c r="AV37" s="13"/>
      <c r="AW37" s="13"/>
      <c r="AX37" s="13"/>
      <c r="AY37" s="15"/>
    </row>
    <row r="38" spans="1:51" x14ac:dyDescent="0.2">
      <c r="A38" s="13"/>
      <c r="B38" s="14"/>
      <c r="C38" s="13"/>
      <c r="D38" s="13"/>
      <c r="E38" s="14"/>
      <c r="F38" s="13"/>
      <c r="G38" s="14"/>
      <c r="H38" s="13"/>
      <c r="I38" s="13"/>
      <c r="J38" s="13"/>
      <c r="K38" s="13"/>
      <c r="L38" s="13"/>
      <c r="M38" s="13"/>
      <c r="N38" s="13"/>
      <c r="O38" s="13"/>
      <c r="P38" s="14"/>
      <c r="Q38" s="13"/>
      <c r="R38" s="13"/>
      <c r="S38" s="14"/>
      <c r="T38" s="14"/>
      <c r="U38" s="14"/>
      <c r="V38" s="14"/>
      <c r="W38" s="14"/>
      <c r="X38" s="13"/>
      <c r="Y38" s="13"/>
      <c r="Z38" s="15"/>
      <c r="AA38" s="13"/>
      <c r="AB38" s="13"/>
      <c r="AC38" s="13"/>
      <c r="AD38" s="14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5"/>
      <c r="AP38" s="15"/>
      <c r="AQ38" s="13"/>
      <c r="AR38" s="15"/>
      <c r="AS38" s="15"/>
      <c r="AT38" s="13"/>
      <c r="AU38" s="13"/>
      <c r="AV38" s="13"/>
      <c r="AW38" s="13"/>
      <c r="AX38" s="13"/>
      <c r="AY38" s="15"/>
    </row>
    <row r="39" spans="1:51" x14ac:dyDescent="0.2">
      <c r="A39" s="13"/>
      <c r="B39" s="14"/>
      <c r="C39" s="13"/>
      <c r="D39" s="13"/>
      <c r="E39" s="14"/>
      <c r="F39" s="13"/>
      <c r="G39" s="14"/>
      <c r="H39" s="13"/>
      <c r="I39" s="13"/>
      <c r="J39" s="13"/>
      <c r="K39" s="13"/>
      <c r="L39" s="13"/>
      <c r="M39" s="13"/>
      <c r="N39" s="13"/>
      <c r="O39" s="13"/>
      <c r="P39" s="14"/>
      <c r="Q39" s="13"/>
      <c r="R39" s="13"/>
      <c r="S39" s="14"/>
      <c r="T39" s="14"/>
      <c r="U39" s="14"/>
      <c r="V39" s="14"/>
      <c r="W39" s="14"/>
      <c r="X39" s="13"/>
      <c r="Y39" s="13"/>
      <c r="Z39" s="15"/>
      <c r="AA39" s="13"/>
      <c r="AB39" s="13"/>
      <c r="AC39" s="13"/>
      <c r="AD39" s="14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5"/>
      <c r="AP39" s="15"/>
      <c r="AQ39" s="13"/>
      <c r="AR39" s="15"/>
      <c r="AS39" s="15"/>
      <c r="AT39" s="13"/>
      <c r="AU39" s="13"/>
      <c r="AV39" s="13"/>
      <c r="AW39" s="13"/>
      <c r="AX39" s="13"/>
      <c r="AY39" s="15"/>
    </row>
    <row r="40" spans="1:51" x14ac:dyDescent="0.2">
      <c r="A40" s="13"/>
      <c r="B40" s="14"/>
      <c r="C40" s="13"/>
      <c r="D40" s="13"/>
      <c r="E40" s="14"/>
      <c r="F40" s="13"/>
      <c r="G40" s="14"/>
      <c r="H40" s="13"/>
      <c r="I40" s="13"/>
      <c r="J40" s="13"/>
      <c r="K40" s="13"/>
      <c r="L40" s="13"/>
      <c r="M40" s="13"/>
      <c r="N40" s="13"/>
      <c r="O40" s="13"/>
      <c r="P40" s="14"/>
      <c r="Q40" s="13"/>
      <c r="R40" s="13"/>
      <c r="S40" s="14"/>
      <c r="T40" s="14"/>
      <c r="U40" s="14"/>
      <c r="V40" s="14"/>
      <c r="W40" s="14"/>
      <c r="X40" s="13"/>
      <c r="Y40" s="13"/>
      <c r="Z40" s="15"/>
      <c r="AA40" s="13"/>
      <c r="AB40" s="13"/>
      <c r="AC40" s="13"/>
      <c r="AD40" s="14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5"/>
      <c r="AP40" s="15"/>
      <c r="AQ40" s="13"/>
      <c r="AR40" s="15"/>
      <c r="AS40" s="15"/>
      <c r="AT40" s="13"/>
      <c r="AU40" s="13"/>
      <c r="AV40" s="13"/>
      <c r="AW40" s="13"/>
      <c r="AX40" s="13"/>
      <c r="AY40" s="15"/>
    </row>
    <row r="41" spans="1:51" x14ac:dyDescent="0.2">
      <c r="A41" s="13"/>
      <c r="B41" s="14"/>
      <c r="C41" s="13"/>
      <c r="D41" s="13"/>
      <c r="E41" s="14"/>
      <c r="F41" s="13"/>
      <c r="G41" s="14"/>
      <c r="H41" s="13"/>
      <c r="I41" s="13"/>
      <c r="J41" s="13"/>
      <c r="K41" s="13"/>
      <c r="L41" s="13"/>
      <c r="M41" s="13"/>
      <c r="N41" s="13"/>
      <c r="O41" s="13"/>
      <c r="P41" s="14"/>
      <c r="Q41" s="13"/>
      <c r="R41" s="13"/>
      <c r="S41" s="14"/>
      <c r="T41" s="14"/>
      <c r="U41" s="14"/>
      <c r="V41" s="14"/>
      <c r="W41" s="14"/>
      <c r="X41" s="13"/>
      <c r="Y41" s="13"/>
      <c r="Z41" s="15"/>
      <c r="AA41" s="13"/>
      <c r="AB41" s="13"/>
      <c r="AC41" s="13"/>
      <c r="AD41" s="14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5"/>
      <c r="AP41" s="15"/>
      <c r="AQ41" s="13"/>
      <c r="AR41" s="15"/>
      <c r="AS41" s="15"/>
      <c r="AT41" s="13"/>
      <c r="AU41" s="13"/>
      <c r="AV41" s="13"/>
      <c r="AW41" s="13"/>
      <c r="AX41" s="13"/>
      <c r="AY41" s="15"/>
    </row>
    <row r="42" spans="1:51" x14ac:dyDescent="0.2">
      <c r="A42" s="13"/>
      <c r="B42" s="14"/>
      <c r="C42" s="13"/>
      <c r="D42" s="13"/>
      <c r="E42" s="14"/>
      <c r="F42" s="13"/>
      <c r="G42" s="14"/>
      <c r="H42" s="13"/>
      <c r="I42" s="13"/>
      <c r="J42" s="13"/>
      <c r="K42" s="13"/>
      <c r="L42" s="13"/>
      <c r="M42" s="13"/>
      <c r="N42" s="13"/>
      <c r="O42" s="13"/>
      <c r="P42" s="14"/>
      <c r="Q42" s="13"/>
      <c r="R42" s="13"/>
      <c r="S42" s="14"/>
      <c r="T42" s="14"/>
      <c r="U42" s="14"/>
      <c r="V42" s="14"/>
      <c r="W42" s="14"/>
      <c r="X42" s="13"/>
      <c r="Y42" s="13"/>
      <c r="Z42" s="15"/>
      <c r="AA42" s="13"/>
      <c r="AB42" s="13"/>
      <c r="AC42" s="13"/>
      <c r="AD42" s="14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5"/>
      <c r="AP42" s="15"/>
      <c r="AQ42" s="13"/>
      <c r="AR42" s="15"/>
      <c r="AS42" s="15"/>
      <c r="AT42" s="13"/>
      <c r="AU42" s="13"/>
      <c r="AV42" s="13"/>
      <c r="AW42" s="13"/>
      <c r="AX42" s="13"/>
      <c r="AY42" s="15"/>
    </row>
    <row r="43" spans="1:51" x14ac:dyDescent="0.2">
      <c r="A43" s="13"/>
      <c r="B43" s="14"/>
      <c r="C43" s="13"/>
      <c r="D43" s="13"/>
      <c r="E43" s="14"/>
      <c r="F43" s="13"/>
      <c r="G43" s="14"/>
      <c r="H43" s="13"/>
      <c r="I43" s="13"/>
      <c r="J43" s="13"/>
      <c r="K43" s="13"/>
      <c r="L43" s="13"/>
      <c r="M43" s="13"/>
      <c r="N43" s="13"/>
      <c r="O43" s="13"/>
      <c r="P43" s="14"/>
      <c r="Q43" s="13"/>
      <c r="R43" s="13"/>
      <c r="S43" s="14"/>
      <c r="T43" s="14"/>
      <c r="U43" s="14"/>
      <c r="V43" s="14"/>
      <c r="W43" s="14"/>
      <c r="X43" s="13"/>
      <c r="Y43" s="13"/>
      <c r="Z43" s="15"/>
      <c r="AA43" s="13"/>
      <c r="AB43" s="13"/>
      <c r="AC43" s="13"/>
      <c r="AD43" s="14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5"/>
      <c r="AP43" s="15"/>
      <c r="AQ43" s="13"/>
      <c r="AR43" s="15"/>
      <c r="AS43" s="15"/>
      <c r="AT43" s="13"/>
      <c r="AU43" s="13"/>
      <c r="AV43" s="13"/>
      <c r="AW43" s="13"/>
      <c r="AX43" s="13"/>
      <c r="AY43" s="15"/>
    </row>
    <row r="44" spans="1:51" x14ac:dyDescent="0.2">
      <c r="A44" s="13"/>
      <c r="B44" s="14"/>
      <c r="C44" s="13"/>
      <c r="D44" s="13"/>
      <c r="E44" s="14"/>
      <c r="F44" s="13"/>
      <c r="G44" s="14"/>
      <c r="H44" s="13"/>
      <c r="I44" s="13"/>
      <c r="J44" s="13"/>
      <c r="K44" s="13"/>
      <c r="L44" s="13"/>
      <c r="M44" s="13"/>
      <c r="N44" s="13"/>
      <c r="O44" s="13"/>
      <c r="P44" s="14"/>
      <c r="Q44" s="13"/>
      <c r="R44" s="13"/>
      <c r="S44" s="14"/>
      <c r="T44" s="14"/>
      <c r="U44" s="14"/>
      <c r="V44" s="14"/>
      <c r="W44" s="14"/>
      <c r="X44" s="13"/>
      <c r="Y44" s="13"/>
      <c r="Z44" s="15"/>
      <c r="AA44" s="13"/>
      <c r="AB44" s="13"/>
      <c r="AC44" s="13"/>
      <c r="AD44" s="14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5"/>
      <c r="AP44" s="15"/>
      <c r="AQ44" s="13"/>
      <c r="AR44" s="15"/>
      <c r="AS44" s="15"/>
      <c r="AT44" s="13"/>
      <c r="AU44" s="13"/>
      <c r="AV44" s="13"/>
      <c r="AW44" s="13"/>
      <c r="AX44" s="13"/>
      <c r="AY44" s="15"/>
    </row>
    <row r="45" spans="1:51" x14ac:dyDescent="0.2">
      <c r="A45" s="13"/>
      <c r="B45" s="14"/>
      <c r="C45" s="13"/>
      <c r="D45" s="13"/>
      <c r="E45" s="14"/>
      <c r="F45" s="13"/>
      <c r="G45" s="14"/>
      <c r="H45" s="13"/>
      <c r="I45" s="13"/>
      <c r="J45" s="13"/>
      <c r="K45" s="13"/>
      <c r="L45" s="13"/>
      <c r="M45" s="13"/>
      <c r="N45" s="13"/>
      <c r="O45" s="13"/>
      <c r="P45" s="14"/>
      <c r="Q45" s="13"/>
      <c r="R45" s="13"/>
      <c r="S45" s="14"/>
      <c r="T45" s="14"/>
      <c r="U45" s="14"/>
      <c r="V45" s="14"/>
      <c r="W45" s="14"/>
      <c r="X45" s="13"/>
      <c r="Y45" s="13"/>
      <c r="Z45" s="15"/>
      <c r="AA45" s="13"/>
      <c r="AB45" s="13"/>
      <c r="AC45" s="13"/>
      <c r="AD45" s="14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5"/>
      <c r="AP45" s="15"/>
      <c r="AQ45" s="13"/>
      <c r="AR45" s="15"/>
      <c r="AS45" s="15"/>
      <c r="AT45" s="13"/>
      <c r="AU45" s="13"/>
      <c r="AV45" s="13"/>
      <c r="AW45" s="13"/>
      <c r="AX45" s="13"/>
      <c r="AY45" s="15"/>
    </row>
    <row r="46" spans="1:51" x14ac:dyDescent="0.2">
      <c r="A46" s="13"/>
      <c r="B46" s="14"/>
      <c r="C46" s="13"/>
      <c r="D46" s="13"/>
      <c r="E46" s="14"/>
      <c r="F46" s="13"/>
      <c r="G46" s="14"/>
      <c r="H46" s="13"/>
      <c r="I46" s="13"/>
      <c r="J46" s="13"/>
      <c r="K46" s="13"/>
      <c r="L46" s="13"/>
      <c r="M46" s="13"/>
      <c r="N46" s="13"/>
      <c r="O46" s="13"/>
      <c r="P46" s="14"/>
      <c r="Q46" s="13"/>
      <c r="R46" s="13"/>
      <c r="S46" s="14"/>
      <c r="T46" s="14"/>
      <c r="U46" s="14"/>
      <c r="V46" s="14"/>
      <c r="W46" s="14"/>
      <c r="X46" s="13"/>
      <c r="Y46" s="13"/>
      <c r="Z46" s="15"/>
      <c r="AA46" s="13"/>
      <c r="AB46" s="13"/>
      <c r="AC46" s="13"/>
      <c r="AD46" s="14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5"/>
      <c r="AP46" s="15"/>
      <c r="AQ46" s="13"/>
      <c r="AR46" s="15"/>
      <c r="AS46" s="15"/>
      <c r="AT46" s="13"/>
      <c r="AU46" s="13"/>
      <c r="AV46" s="13"/>
      <c r="AW46" s="13"/>
      <c r="AX46" s="13"/>
      <c r="AY46" s="15"/>
    </row>
    <row r="47" spans="1:51" x14ac:dyDescent="0.2">
      <c r="A47" s="13"/>
      <c r="B47" s="14"/>
      <c r="C47" s="13"/>
      <c r="D47" s="13"/>
      <c r="E47" s="14"/>
      <c r="F47" s="13"/>
      <c r="G47" s="14"/>
      <c r="H47" s="13"/>
      <c r="I47" s="13"/>
      <c r="J47" s="13"/>
      <c r="K47" s="13"/>
      <c r="L47" s="13"/>
      <c r="M47" s="13"/>
      <c r="N47" s="13"/>
      <c r="O47" s="13"/>
      <c r="P47" s="14"/>
      <c r="Q47" s="13"/>
      <c r="R47" s="13"/>
      <c r="S47" s="14"/>
      <c r="T47" s="14"/>
      <c r="U47" s="14"/>
      <c r="V47" s="14"/>
      <c r="W47" s="14"/>
      <c r="X47" s="13"/>
      <c r="Y47" s="13"/>
      <c r="Z47" s="15"/>
      <c r="AA47" s="13"/>
      <c r="AB47" s="13"/>
      <c r="AC47" s="13"/>
      <c r="AD47" s="14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5"/>
      <c r="AP47" s="15"/>
      <c r="AQ47" s="13"/>
      <c r="AR47" s="15"/>
      <c r="AS47" s="15"/>
      <c r="AT47" s="13"/>
      <c r="AU47" s="13"/>
      <c r="AV47" s="13"/>
      <c r="AW47" s="13"/>
      <c r="AX47" s="13"/>
      <c r="AY47" s="15"/>
    </row>
    <row r="48" spans="1:51" x14ac:dyDescent="0.2">
      <c r="A48" s="13"/>
      <c r="B48" s="14"/>
      <c r="C48" s="13"/>
      <c r="D48" s="13"/>
      <c r="E48" s="14"/>
      <c r="F48" s="13"/>
      <c r="G48" s="14"/>
      <c r="H48" s="13"/>
      <c r="I48" s="13"/>
      <c r="J48" s="13"/>
      <c r="K48" s="13"/>
      <c r="L48" s="13"/>
      <c r="M48" s="13"/>
      <c r="N48" s="13"/>
      <c r="O48" s="13"/>
      <c r="P48" s="14"/>
      <c r="Q48" s="13"/>
      <c r="R48" s="13"/>
      <c r="S48" s="14"/>
      <c r="T48" s="14"/>
      <c r="U48" s="14"/>
      <c r="V48" s="14"/>
      <c r="W48" s="14"/>
      <c r="X48" s="13"/>
      <c r="Y48" s="13"/>
      <c r="Z48" s="15"/>
      <c r="AA48" s="13"/>
      <c r="AB48" s="13"/>
      <c r="AC48" s="13"/>
      <c r="AD48" s="14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5"/>
      <c r="AP48" s="15"/>
      <c r="AQ48" s="13"/>
      <c r="AR48" s="15"/>
      <c r="AS48" s="15"/>
      <c r="AT48" s="13"/>
      <c r="AU48" s="13"/>
      <c r="AV48" s="13"/>
      <c r="AW48" s="13"/>
      <c r="AX48" s="13"/>
      <c r="AY48" s="15"/>
    </row>
    <row r="49" spans="1:51" x14ac:dyDescent="0.2">
      <c r="A49" s="13"/>
      <c r="B49" s="14"/>
      <c r="C49" s="13"/>
      <c r="D49" s="13"/>
      <c r="E49" s="14"/>
      <c r="F49" s="13"/>
      <c r="G49" s="14"/>
      <c r="H49" s="13"/>
      <c r="I49" s="13"/>
      <c r="J49" s="13"/>
      <c r="K49" s="13"/>
      <c r="L49" s="13"/>
      <c r="M49" s="13"/>
      <c r="N49" s="13"/>
      <c r="O49" s="13"/>
      <c r="P49" s="14"/>
      <c r="Q49" s="13"/>
      <c r="R49" s="13"/>
      <c r="S49" s="14"/>
      <c r="T49" s="14"/>
      <c r="U49" s="14"/>
      <c r="V49" s="14"/>
      <c r="W49" s="14"/>
      <c r="X49" s="13"/>
      <c r="Y49" s="13"/>
      <c r="Z49" s="15"/>
      <c r="AA49" s="13"/>
      <c r="AB49" s="13"/>
      <c r="AC49" s="13"/>
      <c r="AD49" s="14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5"/>
      <c r="AP49" s="15"/>
      <c r="AQ49" s="13"/>
      <c r="AR49" s="15"/>
      <c r="AS49" s="15"/>
      <c r="AT49" s="13"/>
      <c r="AU49" s="13"/>
      <c r="AV49" s="13"/>
      <c r="AW49" s="13"/>
      <c r="AX49" s="13"/>
      <c r="AY49" s="15"/>
    </row>
    <row r="50" spans="1:51" x14ac:dyDescent="0.2">
      <c r="A50" s="13"/>
      <c r="B50" s="14"/>
      <c r="C50" s="13"/>
      <c r="D50" s="13"/>
      <c r="E50" s="14"/>
      <c r="F50" s="13"/>
      <c r="G50" s="14"/>
      <c r="H50" s="13"/>
      <c r="I50" s="13"/>
      <c r="J50" s="13"/>
      <c r="K50" s="13"/>
      <c r="L50" s="13"/>
      <c r="M50" s="13"/>
      <c r="N50" s="13"/>
      <c r="O50" s="13"/>
      <c r="P50" s="14"/>
      <c r="Q50" s="13"/>
      <c r="R50" s="13"/>
      <c r="S50" s="14"/>
      <c r="T50" s="14"/>
      <c r="U50" s="14"/>
      <c r="V50" s="14"/>
      <c r="W50" s="14"/>
      <c r="X50" s="13"/>
      <c r="Y50" s="13"/>
      <c r="Z50" s="15"/>
      <c r="AA50" s="13"/>
      <c r="AB50" s="13"/>
      <c r="AC50" s="13"/>
      <c r="AD50" s="14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5"/>
      <c r="AP50" s="15"/>
      <c r="AQ50" s="13"/>
      <c r="AR50" s="15"/>
      <c r="AS50" s="15"/>
      <c r="AT50" s="13"/>
      <c r="AU50" s="13"/>
      <c r="AV50" s="13"/>
      <c r="AW50" s="13"/>
      <c r="AX50" s="13"/>
      <c r="AY50" s="15"/>
    </row>
    <row r="51" spans="1:51" x14ac:dyDescent="0.2">
      <c r="A51" s="13"/>
      <c r="B51" s="14"/>
      <c r="C51" s="13"/>
      <c r="D51" s="13"/>
      <c r="E51" s="14"/>
      <c r="F51" s="13"/>
      <c r="G51" s="14"/>
      <c r="H51" s="13"/>
      <c r="I51" s="13"/>
      <c r="J51" s="13"/>
      <c r="K51" s="13"/>
      <c r="L51" s="13"/>
      <c r="M51" s="13"/>
      <c r="N51" s="13"/>
      <c r="O51" s="13"/>
      <c r="P51" s="14"/>
      <c r="Q51" s="13"/>
      <c r="R51" s="13"/>
      <c r="S51" s="14"/>
      <c r="T51" s="14"/>
      <c r="U51" s="14"/>
      <c r="V51" s="14"/>
      <c r="W51" s="14"/>
      <c r="X51" s="13"/>
      <c r="Y51" s="13"/>
      <c r="Z51" s="15"/>
      <c r="AA51" s="13"/>
      <c r="AB51" s="13"/>
      <c r="AC51" s="13"/>
      <c r="AD51" s="14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5"/>
      <c r="AP51" s="15"/>
      <c r="AQ51" s="13"/>
      <c r="AR51" s="15"/>
      <c r="AS51" s="15"/>
      <c r="AT51" s="13"/>
      <c r="AU51" s="13"/>
      <c r="AV51" s="13"/>
      <c r="AW51" s="13"/>
      <c r="AX51" s="13"/>
      <c r="AY51" s="15"/>
    </row>
    <row r="52" spans="1:51" x14ac:dyDescent="0.2">
      <c r="A52" s="13"/>
      <c r="B52" s="14"/>
      <c r="C52" s="13"/>
      <c r="D52" s="13"/>
      <c r="E52" s="14"/>
      <c r="F52" s="13"/>
      <c r="G52" s="14"/>
      <c r="H52" s="13"/>
      <c r="I52" s="13"/>
      <c r="J52" s="13"/>
      <c r="K52" s="13"/>
      <c r="L52" s="13"/>
      <c r="M52" s="13"/>
      <c r="N52" s="13"/>
      <c r="O52" s="13"/>
      <c r="P52" s="14"/>
      <c r="Q52" s="13"/>
      <c r="R52" s="13"/>
      <c r="S52" s="14"/>
      <c r="T52" s="14"/>
      <c r="U52" s="14"/>
      <c r="V52" s="14"/>
      <c r="W52" s="14"/>
      <c r="X52" s="13"/>
      <c r="Y52" s="13"/>
      <c r="Z52" s="15"/>
      <c r="AA52" s="13"/>
      <c r="AB52" s="13"/>
      <c r="AC52" s="13"/>
      <c r="AD52" s="14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5"/>
      <c r="AP52" s="15"/>
      <c r="AQ52" s="13"/>
      <c r="AR52" s="15"/>
      <c r="AS52" s="15"/>
      <c r="AT52" s="13"/>
      <c r="AU52" s="13"/>
      <c r="AV52" s="13"/>
      <c r="AW52" s="13"/>
      <c r="AX52" s="13"/>
      <c r="AY52" s="15"/>
    </row>
    <row r="53" spans="1:51" x14ac:dyDescent="0.2">
      <c r="A53" s="13"/>
      <c r="B53" s="14"/>
      <c r="C53" s="13"/>
      <c r="D53" s="13"/>
      <c r="E53" s="14"/>
      <c r="F53" s="13"/>
      <c r="G53" s="14"/>
      <c r="H53" s="13"/>
      <c r="I53" s="13"/>
      <c r="J53" s="13"/>
      <c r="K53" s="13"/>
      <c r="L53" s="13"/>
      <c r="M53" s="13"/>
      <c r="N53" s="13"/>
      <c r="O53" s="13"/>
      <c r="P53" s="14"/>
      <c r="Q53" s="13"/>
      <c r="R53" s="13"/>
      <c r="S53" s="14"/>
      <c r="T53" s="14"/>
      <c r="U53" s="14"/>
      <c r="V53" s="14"/>
      <c r="W53" s="14"/>
      <c r="X53" s="13"/>
      <c r="Y53" s="13"/>
      <c r="Z53" s="15"/>
      <c r="AA53" s="13"/>
      <c r="AB53" s="13"/>
      <c r="AC53" s="13"/>
      <c r="AD53" s="14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5"/>
      <c r="AP53" s="15"/>
      <c r="AQ53" s="13"/>
      <c r="AR53" s="15"/>
      <c r="AS53" s="15"/>
      <c r="AT53" s="13"/>
      <c r="AU53" s="13"/>
      <c r="AV53" s="13"/>
      <c r="AW53" s="13"/>
      <c r="AX53" s="13"/>
      <c r="AY53" s="15"/>
    </row>
    <row r="54" spans="1:51" x14ac:dyDescent="0.2">
      <c r="A54" s="13"/>
      <c r="B54" s="14"/>
      <c r="C54" s="13"/>
      <c r="D54" s="13"/>
      <c r="E54" s="14"/>
      <c r="F54" s="13"/>
      <c r="G54" s="14"/>
      <c r="H54" s="13"/>
      <c r="I54" s="13"/>
      <c r="J54" s="13"/>
      <c r="K54" s="13"/>
      <c r="L54" s="13"/>
      <c r="M54" s="13"/>
      <c r="N54" s="13"/>
      <c r="O54" s="13"/>
      <c r="P54" s="14"/>
      <c r="Q54" s="13"/>
      <c r="R54" s="13"/>
      <c r="S54" s="14"/>
      <c r="T54" s="14"/>
      <c r="U54" s="14"/>
      <c r="V54" s="14"/>
      <c r="W54" s="14"/>
      <c r="X54" s="13"/>
      <c r="Y54" s="13"/>
      <c r="Z54" s="15"/>
      <c r="AA54" s="13"/>
      <c r="AB54" s="13"/>
      <c r="AC54" s="13"/>
      <c r="AD54" s="14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5"/>
      <c r="AP54" s="15"/>
      <c r="AQ54" s="13"/>
      <c r="AR54" s="15"/>
      <c r="AS54" s="15"/>
      <c r="AT54" s="13"/>
      <c r="AU54" s="13"/>
      <c r="AV54" s="13"/>
      <c r="AW54" s="13"/>
      <c r="AX54" s="13"/>
      <c r="AY54" s="15"/>
    </row>
    <row r="55" spans="1:51" x14ac:dyDescent="0.2">
      <c r="A55" s="13"/>
      <c r="B55" s="14"/>
      <c r="C55" s="13"/>
      <c r="D55" s="13"/>
      <c r="E55" s="14"/>
      <c r="F55" s="13"/>
      <c r="G55" s="14"/>
      <c r="H55" s="13"/>
      <c r="I55" s="13"/>
      <c r="J55" s="13"/>
      <c r="K55" s="13"/>
      <c r="L55" s="13"/>
      <c r="M55" s="13"/>
      <c r="N55" s="13"/>
      <c r="O55" s="13"/>
      <c r="P55" s="14"/>
      <c r="Q55" s="13"/>
      <c r="R55" s="13"/>
      <c r="S55" s="14"/>
      <c r="T55" s="14"/>
      <c r="U55" s="14"/>
      <c r="V55" s="14"/>
      <c r="W55" s="14"/>
      <c r="X55" s="13"/>
      <c r="Y55" s="13"/>
      <c r="Z55" s="15"/>
      <c r="AA55" s="13"/>
      <c r="AB55" s="13"/>
      <c r="AC55" s="13"/>
      <c r="AD55" s="14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5"/>
      <c r="AP55" s="15"/>
      <c r="AQ55" s="13"/>
      <c r="AR55" s="15"/>
      <c r="AS55" s="15"/>
      <c r="AT55" s="13"/>
      <c r="AU55" s="13"/>
      <c r="AV55" s="13"/>
      <c r="AW55" s="13"/>
      <c r="AX55" s="13"/>
      <c r="AY55" s="15"/>
    </row>
    <row r="56" spans="1:51" x14ac:dyDescent="0.2">
      <c r="A56" s="13"/>
      <c r="B56" s="14"/>
      <c r="C56" s="13"/>
      <c r="D56" s="13"/>
      <c r="E56" s="14"/>
      <c r="F56" s="13"/>
      <c r="G56" s="14"/>
      <c r="H56" s="13"/>
      <c r="I56" s="13"/>
      <c r="J56" s="13"/>
      <c r="K56" s="13"/>
      <c r="L56" s="13"/>
      <c r="M56" s="13"/>
      <c r="N56" s="13"/>
      <c r="O56" s="13"/>
      <c r="P56" s="14"/>
      <c r="Q56" s="13"/>
      <c r="R56" s="13"/>
      <c r="S56" s="14"/>
      <c r="T56" s="14"/>
      <c r="U56" s="14"/>
      <c r="V56" s="14"/>
      <c r="W56" s="14"/>
      <c r="X56" s="13"/>
      <c r="Y56" s="13"/>
      <c r="Z56" s="15"/>
      <c r="AA56" s="13"/>
      <c r="AB56" s="13"/>
      <c r="AC56" s="13"/>
      <c r="AD56" s="14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5"/>
      <c r="AP56" s="15"/>
      <c r="AQ56" s="13"/>
      <c r="AR56" s="15"/>
      <c r="AS56" s="15"/>
      <c r="AT56" s="13"/>
      <c r="AU56" s="13"/>
      <c r="AV56" s="13"/>
      <c r="AW56" s="13"/>
      <c r="AX56" s="13"/>
      <c r="AY56" s="15"/>
    </row>
    <row r="57" spans="1:51" x14ac:dyDescent="0.2">
      <c r="A57" s="13"/>
      <c r="B57" s="14"/>
      <c r="C57" s="13"/>
      <c r="D57" s="13"/>
      <c r="E57" s="14"/>
      <c r="F57" s="13"/>
      <c r="G57" s="14"/>
      <c r="H57" s="13"/>
      <c r="I57" s="13"/>
      <c r="J57" s="13"/>
      <c r="K57" s="13"/>
      <c r="L57" s="13"/>
      <c r="M57" s="13"/>
      <c r="N57" s="13"/>
      <c r="O57" s="13"/>
      <c r="P57" s="14"/>
      <c r="Q57" s="13"/>
      <c r="R57" s="13"/>
      <c r="S57" s="14"/>
      <c r="T57" s="14"/>
      <c r="U57" s="14"/>
      <c r="V57" s="14"/>
      <c r="W57" s="14"/>
      <c r="X57" s="13"/>
      <c r="Y57" s="13"/>
      <c r="Z57" s="15"/>
      <c r="AA57" s="13"/>
      <c r="AB57" s="13"/>
      <c r="AC57" s="13"/>
      <c r="AD57" s="14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5"/>
      <c r="AP57" s="15"/>
      <c r="AQ57" s="13"/>
      <c r="AR57" s="15"/>
      <c r="AS57" s="15"/>
      <c r="AT57" s="13"/>
      <c r="AU57" s="13"/>
      <c r="AV57" s="13"/>
      <c r="AW57" s="13"/>
      <c r="AX57" s="13"/>
      <c r="AY57" s="15"/>
    </row>
    <row r="58" spans="1:51" x14ac:dyDescent="0.2">
      <c r="A58" s="13"/>
      <c r="B58" s="14"/>
      <c r="C58" s="13"/>
      <c r="D58" s="13"/>
      <c r="E58" s="14"/>
      <c r="F58" s="13"/>
      <c r="G58" s="14"/>
      <c r="H58" s="13"/>
      <c r="I58" s="13"/>
      <c r="J58" s="13"/>
      <c r="K58" s="13"/>
      <c r="L58" s="13"/>
      <c r="M58" s="13"/>
      <c r="N58" s="13"/>
      <c r="O58" s="13"/>
      <c r="P58" s="14"/>
      <c r="Q58" s="13"/>
      <c r="R58" s="13"/>
      <c r="S58" s="14"/>
      <c r="T58" s="14"/>
      <c r="U58" s="14"/>
      <c r="V58" s="14"/>
      <c r="W58" s="14"/>
      <c r="X58" s="13"/>
      <c r="Y58" s="13"/>
      <c r="Z58" s="15"/>
      <c r="AA58" s="13"/>
      <c r="AB58" s="13"/>
      <c r="AC58" s="13"/>
      <c r="AD58" s="14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5"/>
      <c r="AP58" s="15"/>
      <c r="AQ58" s="13"/>
      <c r="AR58" s="15"/>
      <c r="AS58" s="15"/>
      <c r="AT58" s="13"/>
      <c r="AU58" s="13"/>
      <c r="AV58" s="13"/>
      <c r="AW58" s="13"/>
      <c r="AX58" s="13"/>
      <c r="AY58" s="15"/>
    </row>
    <row r="59" spans="1:51" x14ac:dyDescent="0.2">
      <c r="A59" s="13"/>
      <c r="B59" s="14"/>
      <c r="C59" s="13"/>
      <c r="D59" s="13"/>
      <c r="E59" s="14"/>
      <c r="F59" s="13"/>
      <c r="G59" s="14"/>
      <c r="H59" s="13"/>
      <c r="I59" s="13"/>
      <c r="J59" s="13"/>
      <c r="K59" s="13"/>
      <c r="L59" s="13"/>
      <c r="M59" s="13"/>
      <c r="N59" s="13"/>
      <c r="O59" s="13"/>
      <c r="P59" s="14"/>
      <c r="Q59" s="13"/>
      <c r="R59" s="13"/>
      <c r="S59" s="14"/>
      <c r="T59" s="14"/>
      <c r="U59" s="14"/>
      <c r="V59" s="14"/>
      <c r="W59" s="14"/>
      <c r="X59" s="13"/>
      <c r="Y59" s="13"/>
      <c r="Z59" s="15"/>
      <c r="AA59" s="13"/>
      <c r="AB59" s="13"/>
      <c r="AC59" s="13"/>
      <c r="AD59" s="14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5"/>
      <c r="AP59" s="15"/>
      <c r="AQ59" s="13"/>
      <c r="AR59" s="15"/>
      <c r="AS59" s="15"/>
      <c r="AT59" s="13"/>
      <c r="AU59" s="13"/>
      <c r="AV59" s="13"/>
      <c r="AW59" s="13"/>
      <c r="AX59" s="13"/>
      <c r="AY59" s="15"/>
    </row>
    <row r="60" spans="1:51" x14ac:dyDescent="0.2">
      <c r="A60" s="13"/>
      <c r="B60" s="14"/>
      <c r="C60" s="13"/>
      <c r="D60" s="13"/>
      <c r="E60" s="14"/>
      <c r="F60" s="13"/>
      <c r="G60" s="14"/>
      <c r="H60" s="13"/>
      <c r="I60" s="13"/>
      <c r="J60" s="13"/>
      <c r="K60" s="13"/>
      <c r="L60" s="13"/>
      <c r="M60" s="13"/>
      <c r="N60" s="13"/>
      <c r="O60" s="13"/>
      <c r="P60" s="14"/>
      <c r="Q60" s="13"/>
      <c r="R60" s="13"/>
      <c r="S60" s="14"/>
      <c r="T60" s="14"/>
      <c r="U60" s="14"/>
      <c r="V60" s="14"/>
      <c r="W60" s="14"/>
      <c r="X60" s="13"/>
      <c r="Y60" s="13"/>
      <c r="Z60" s="15"/>
      <c r="AA60" s="13"/>
      <c r="AB60" s="13"/>
      <c r="AC60" s="13"/>
      <c r="AD60" s="14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5"/>
      <c r="AP60" s="15"/>
      <c r="AQ60" s="13"/>
      <c r="AR60" s="15"/>
      <c r="AS60" s="15"/>
      <c r="AT60" s="13"/>
      <c r="AU60" s="13"/>
      <c r="AV60" s="13"/>
      <c r="AW60" s="13"/>
      <c r="AX60" s="13"/>
      <c r="AY60" s="15"/>
    </row>
    <row r="61" spans="1:51" x14ac:dyDescent="0.2">
      <c r="A61" s="13"/>
      <c r="B61" s="14"/>
      <c r="C61" s="13"/>
      <c r="D61" s="13"/>
      <c r="E61" s="14"/>
      <c r="F61" s="13"/>
      <c r="G61" s="14"/>
      <c r="H61" s="13"/>
      <c r="I61" s="13"/>
      <c r="J61" s="13"/>
      <c r="K61" s="13"/>
      <c r="L61" s="13"/>
      <c r="M61" s="13"/>
      <c r="N61" s="13"/>
      <c r="O61" s="13"/>
      <c r="P61" s="14"/>
      <c r="Q61" s="13"/>
      <c r="R61" s="13"/>
      <c r="S61" s="14"/>
      <c r="T61" s="14"/>
      <c r="U61" s="14"/>
      <c r="V61" s="14"/>
      <c r="W61" s="14"/>
      <c r="X61" s="13"/>
      <c r="Y61" s="13"/>
      <c r="Z61" s="15"/>
      <c r="AA61" s="13"/>
      <c r="AB61" s="13"/>
      <c r="AC61" s="13"/>
      <c r="AD61" s="14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5"/>
      <c r="AP61" s="15"/>
      <c r="AQ61" s="13"/>
      <c r="AR61" s="15"/>
      <c r="AS61" s="15"/>
      <c r="AT61" s="13"/>
      <c r="AU61" s="13"/>
      <c r="AV61" s="13"/>
      <c r="AW61" s="13"/>
      <c r="AX61" s="13"/>
      <c r="AY61" s="15"/>
    </row>
    <row r="62" spans="1:51" x14ac:dyDescent="0.2">
      <c r="A62" s="13"/>
      <c r="B62" s="14"/>
      <c r="C62" s="13"/>
      <c r="D62" s="13"/>
      <c r="E62" s="14"/>
      <c r="F62" s="13"/>
      <c r="G62" s="14"/>
      <c r="H62" s="13"/>
      <c r="I62" s="13"/>
      <c r="J62" s="13"/>
      <c r="K62" s="13"/>
      <c r="L62" s="13"/>
      <c r="M62" s="13"/>
      <c r="N62" s="13"/>
      <c r="O62" s="13"/>
      <c r="P62" s="14"/>
      <c r="Q62" s="13"/>
      <c r="R62" s="13"/>
      <c r="S62" s="14"/>
      <c r="T62" s="14"/>
      <c r="U62" s="14"/>
      <c r="V62" s="14"/>
      <c r="W62" s="14"/>
      <c r="X62" s="13"/>
      <c r="Y62" s="13"/>
      <c r="Z62" s="15"/>
      <c r="AA62" s="13"/>
      <c r="AB62" s="13"/>
      <c r="AC62" s="13"/>
      <c r="AD62" s="14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5"/>
      <c r="AP62" s="15"/>
      <c r="AQ62" s="13"/>
      <c r="AR62" s="15"/>
      <c r="AS62" s="15"/>
      <c r="AT62" s="13"/>
      <c r="AU62" s="13"/>
      <c r="AV62" s="13"/>
      <c r="AW62" s="13"/>
      <c r="AX62" s="13"/>
      <c r="AY62" s="15"/>
    </row>
    <row r="63" spans="1:51" x14ac:dyDescent="0.2">
      <c r="A63" s="13"/>
      <c r="B63" s="14"/>
      <c r="C63" s="13"/>
      <c r="D63" s="13"/>
      <c r="E63" s="14"/>
      <c r="F63" s="13"/>
      <c r="G63" s="14"/>
      <c r="H63" s="13"/>
      <c r="I63" s="13"/>
      <c r="J63" s="13"/>
      <c r="K63" s="13"/>
      <c r="L63" s="13"/>
      <c r="M63" s="13"/>
      <c r="N63" s="13"/>
      <c r="O63" s="13"/>
      <c r="P63" s="14"/>
      <c r="Q63" s="13"/>
      <c r="R63" s="13"/>
      <c r="S63" s="14"/>
      <c r="T63" s="14"/>
      <c r="U63" s="14"/>
      <c r="V63" s="14"/>
      <c r="W63" s="14"/>
      <c r="X63" s="13"/>
      <c r="Y63" s="13"/>
      <c r="Z63" s="15"/>
      <c r="AA63" s="13"/>
      <c r="AB63" s="13"/>
      <c r="AC63" s="13"/>
      <c r="AD63" s="14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5"/>
      <c r="AP63" s="15"/>
      <c r="AQ63" s="13"/>
      <c r="AR63" s="15"/>
      <c r="AS63" s="15"/>
      <c r="AT63" s="13"/>
      <c r="AU63" s="13"/>
      <c r="AV63" s="13"/>
      <c r="AW63" s="13"/>
      <c r="AX63" s="13"/>
      <c r="AY63" s="15"/>
    </row>
    <row r="64" spans="1:51" x14ac:dyDescent="0.2">
      <c r="A64" s="13"/>
      <c r="B64" s="14"/>
      <c r="C64" s="13"/>
      <c r="D64" s="13"/>
      <c r="E64" s="14"/>
      <c r="F64" s="13"/>
      <c r="G64" s="14"/>
      <c r="H64" s="13"/>
      <c r="I64" s="13"/>
      <c r="J64" s="13"/>
      <c r="K64" s="13"/>
      <c r="L64" s="13"/>
      <c r="M64" s="13"/>
      <c r="N64" s="13"/>
      <c r="O64" s="13"/>
      <c r="P64" s="14"/>
      <c r="Q64" s="13"/>
      <c r="R64" s="13"/>
      <c r="S64" s="14"/>
      <c r="T64" s="14"/>
      <c r="U64" s="14"/>
      <c r="V64" s="14"/>
      <c r="W64" s="14"/>
      <c r="X64" s="13"/>
      <c r="Y64" s="13"/>
      <c r="Z64" s="15"/>
      <c r="AA64" s="13"/>
      <c r="AB64" s="13"/>
      <c r="AC64" s="13"/>
      <c r="AD64" s="14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5"/>
      <c r="AP64" s="15"/>
      <c r="AQ64" s="13"/>
      <c r="AR64" s="15"/>
      <c r="AS64" s="15"/>
      <c r="AT64" s="13"/>
      <c r="AU64" s="13"/>
      <c r="AV64" s="13"/>
      <c r="AW64" s="13"/>
      <c r="AX64" s="13"/>
      <c r="AY64" s="15"/>
    </row>
    <row r="65" spans="1:51" x14ac:dyDescent="0.2">
      <c r="A65" s="13"/>
      <c r="B65" s="14"/>
      <c r="C65" s="13"/>
      <c r="D65" s="13"/>
      <c r="E65" s="14"/>
      <c r="F65" s="13"/>
      <c r="G65" s="14"/>
      <c r="H65" s="13"/>
      <c r="I65" s="13"/>
      <c r="J65" s="13"/>
      <c r="K65" s="13"/>
      <c r="L65" s="13"/>
      <c r="M65" s="13"/>
      <c r="N65" s="13"/>
      <c r="O65" s="13"/>
      <c r="P65" s="14"/>
      <c r="Q65" s="13"/>
      <c r="R65" s="13"/>
      <c r="S65" s="14"/>
      <c r="T65" s="14"/>
      <c r="U65" s="14"/>
      <c r="V65" s="14"/>
      <c r="W65" s="14"/>
      <c r="X65" s="13"/>
      <c r="Y65" s="13"/>
      <c r="Z65" s="15"/>
      <c r="AA65" s="13"/>
      <c r="AB65" s="13"/>
      <c r="AC65" s="13"/>
      <c r="AD65" s="14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5"/>
      <c r="AP65" s="15"/>
      <c r="AQ65" s="13"/>
      <c r="AR65" s="15"/>
      <c r="AS65" s="15"/>
      <c r="AT65" s="13"/>
      <c r="AU65" s="13"/>
      <c r="AV65" s="13"/>
      <c r="AW65" s="13"/>
      <c r="AX65" s="13"/>
      <c r="AY65" s="15"/>
    </row>
    <row r="66" spans="1:51" x14ac:dyDescent="0.2">
      <c r="A66" s="13"/>
      <c r="B66" s="14"/>
      <c r="C66" s="13"/>
      <c r="D66" s="13"/>
      <c r="E66" s="14"/>
      <c r="F66" s="13"/>
      <c r="G66" s="14"/>
      <c r="H66" s="13"/>
      <c r="I66" s="13"/>
      <c r="J66" s="13"/>
      <c r="K66" s="13"/>
      <c r="L66" s="13"/>
      <c r="M66" s="13"/>
      <c r="N66" s="13"/>
      <c r="O66" s="13"/>
      <c r="P66" s="14"/>
      <c r="Q66" s="13"/>
      <c r="R66" s="13"/>
      <c r="S66" s="14"/>
      <c r="T66" s="14"/>
      <c r="U66" s="14"/>
      <c r="V66" s="14"/>
      <c r="W66" s="14"/>
      <c r="X66" s="13"/>
      <c r="Y66" s="13"/>
      <c r="Z66" s="15"/>
      <c r="AA66" s="13"/>
      <c r="AB66" s="13"/>
      <c r="AC66" s="13"/>
      <c r="AD66" s="14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5"/>
      <c r="AP66" s="15"/>
      <c r="AQ66" s="13"/>
      <c r="AR66" s="15"/>
      <c r="AS66" s="15"/>
      <c r="AT66" s="13"/>
      <c r="AU66" s="13"/>
      <c r="AV66" s="13"/>
      <c r="AW66" s="13"/>
      <c r="AX66" s="13"/>
      <c r="AY66" s="15"/>
    </row>
    <row r="67" spans="1:51" x14ac:dyDescent="0.2">
      <c r="A67" s="13"/>
      <c r="B67" s="14"/>
      <c r="C67" s="13"/>
      <c r="D67" s="13"/>
      <c r="E67" s="14"/>
      <c r="F67" s="13"/>
      <c r="G67" s="14"/>
      <c r="H67" s="13"/>
      <c r="I67" s="13"/>
      <c r="J67" s="13"/>
      <c r="K67" s="13"/>
      <c r="L67" s="13"/>
      <c r="M67" s="13"/>
      <c r="N67" s="13"/>
      <c r="O67" s="13"/>
      <c r="P67" s="14"/>
      <c r="Q67" s="13"/>
      <c r="R67" s="13"/>
      <c r="S67" s="14"/>
      <c r="T67" s="14"/>
      <c r="U67" s="14"/>
      <c r="V67" s="14"/>
      <c r="W67" s="14"/>
      <c r="X67" s="13"/>
      <c r="Y67" s="13"/>
      <c r="Z67" s="15"/>
      <c r="AA67" s="13"/>
      <c r="AB67" s="13"/>
      <c r="AC67" s="13"/>
      <c r="AD67" s="14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5"/>
      <c r="AP67" s="15"/>
      <c r="AQ67" s="13"/>
      <c r="AR67" s="15"/>
      <c r="AS67" s="15"/>
      <c r="AT67" s="13"/>
      <c r="AU67" s="13"/>
      <c r="AV67" s="13"/>
      <c r="AW67" s="13"/>
      <c r="AX67" s="13"/>
      <c r="AY67" s="15"/>
    </row>
    <row r="68" spans="1:51" x14ac:dyDescent="0.2">
      <c r="A68" s="13"/>
      <c r="B68" s="14"/>
      <c r="C68" s="13"/>
      <c r="D68" s="13"/>
      <c r="E68" s="14"/>
      <c r="F68" s="13"/>
      <c r="G68" s="14"/>
      <c r="H68" s="13"/>
      <c r="I68" s="13"/>
      <c r="J68" s="13"/>
      <c r="K68" s="13"/>
      <c r="L68" s="13"/>
      <c r="M68" s="13"/>
      <c r="N68" s="13"/>
      <c r="O68" s="13"/>
      <c r="P68" s="14"/>
      <c r="Q68" s="13"/>
      <c r="R68" s="13"/>
      <c r="S68" s="14"/>
      <c r="T68" s="14"/>
      <c r="U68" s="14"/>
      <c r="V68" s="14"/>
      <c r="W68" s="14"/>
      <c r="X68" s="13"/>
      <c r="Y68" s="13"/>
      <c r="Z68" s="15"/>
      <c r="AA68" s="13"/>
      <c r="AB68" s="13"/>
      <c r="AC68" s="13"/>
      <c r="AD68" s="14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5"/>
      <c r="AP68" s="15"/>
      <c r="AQ68" s="13"/>
      <c r="AR68" s="15"/>
      <c r="AS68" s="15"/>
      <c r="AT68" s="13"/>
      <c r="AU68" s="13"/>
      <c r="AV68" s="13"/>
      <c r="AW68" s="13"/>
      <c r="AX68" s="13"/>
      <c r="AY68" s="15"/>
    </row>
    <row r="69" spans="1:51" x14ac:dyDescent="0.2">
      <c r="A69" s="13"/>
      <c r="B69" s="14"/>
      <c r="C69" s="13"/>
      <c r="D69" s="13"/>
      <c r="E69" s="14"/>
      <c r="F69" s="13"/>
      <c r="G69" s="14"/>
      <c r="H69" s="13"/>
      <c r="I69" s="13"/>
      <c r="J69" s="13"/>
      <c r="K69" s="13"/>
      <c r="L69" s="13"/>
      <c r="M69" s="13"/>
      <c r="N69" s="13"/>
      <c r="O69" s="13"/>
      <c r="P69" s="14"/>
      <c r="Q69" s="13"/>
      <c r="R69" s="13"/>
      <c r="S69" s="14"/>
      <c r="T69" s="14"/>
      <c r="U69" s="14"/>
      <c r="V69" s="14"/>
      <c r="W69" s="14"/>
      <c r="X69" s="13"/>
      <c r="Y69" s="13"/>
      <c r="Z69" s="15"/>
      <c r="AA69" s="13"/>
      <c r="AB69" s="13"/>
      <c r="AC69" s="13"/>
      <c r="AD69" s="14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5"/>
      <c r="AP69" s="15"/>
      <c r="AQ69" s="13"/>
      <c r="AR69" s="15"/>
      <c r="AS69" s="15"/>
      <c r="AT69" s="13"/>
      <c r="AU69" s="13"/>
      <c r="AV69" s="13"/>
      <c r="AW69" s="13"/>
      <c r="AX69" s="13"/>
      <c r="AY69" s="15"/>
    </row>
    <row r="70" spans="1:51" x14ac:dyDescent="0.2">
      <c r="A70" s="13"/>
      <c r="B70" s="14"/>
      <c r="C70" s="13"/>
      <c r="D70" s="13"/>
      <c r="E70" s="14"/>
      <c r="F70" s="13"/>
      <c r="G70" s="14"/>
      <c r="H70" s="13"/>
      <c r="I70" s="13"/>
      <c r="J70" s="13"/>
      <c r="K70" s="13"/>
      <c r="L70" s="13"/>
      <c r="M70" s="13"/>
      <c r="N70" s="13"/>
      <c r="O70" s="13"/>
      <c r="P70" s="14"/>
      <c r="Q70" s="13"/>
      <c r="R70" s="13"/>
      <c r="S70" s="14"/>
      <c r="T70" s="14"/>
      <c r="U70" s="14"/>
      <c r="V70" s="14"/>
      <c r="W70" s="14"/>
      <c r="X70" s="13"/>
      <c r="Y70" s="13"/>
      <c r="Z70" s="15"/>
      <c r="AA70" s="13"/>
      <c r="AB70" s="13"/>
      <c r="AC70" s="13"/>
      <c r="AD70" s="14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5"/>
      <c r="AP70" s="15"/>
      <c r="AQ70" s="13"/>
      <c r="AR70" s="15"/>
      <c r="AS70" s="15"/>
      <c r="AT70" s="13"/>
      <c r="AU70" s="13"/>
      <c r="AV70" s="13"/>
      <c r="AW70" s="13"/>
      <c r="AX70" s="13"/>
      <c r="AY70" s="15"/>
    </row>
    <row r="71" spans="1:51" x14ac:dyDescent="0.2">
      <c r="A71" s="13"/>
      <c r="B71" s="14"/>
      <c r="C71" s="13"/>
      <c r="D71" s="13"/>
      <c r="E71" s="14"/>
      <c r="F71" s="13"/>
      <c r="G71" s="14"/>
      <c r="H71" s="13"/>
      <c r="I71" s="13"/>
      <c r="J71" s="13"/>
      <c r="K71" s="13"/>
      <c r="L71" s="13"/>
      <c r="M71" s="13"/>
      <c r="N71" s="13"/>
      <c r="O71" s="13"/>
      <c r="P71" s="14"/>
      <c r="Q71" s="13"/>
      <c r="R71" s="13"/>
      <c r="S71" s="14"/>
      <c r="T71" s="14"/>
      <c r="U71" s="14"/>
      <c r="V71" s="14"/>
      <c r="W71" s="14"/>
      <c r="X71" s="13"/>
      <c r="Y71" s="13"/>
      <c r="Z71" s="15"/>
      <c r="AA71" s="13"/>
      <c r="AB71" s="13"/>
      <c r="AC71" s="13"/>
      <c r="AD71" s="14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5"/>
      <c r="AP71" s="15"/>
      <c r="AQ71" s="13"/>
      <c r="AR71" s="15"/>
      <c r="AS71" s="15"/>
      <c r="AT71" s="13"/>
      <c r="AU71" s="13"/>
      <c r="AV71" s="13"/>
      <c r="AW71" s="13"/>
      <c r="AX71" s="13"/>
      <c r="AY71" s="15"/>
    </row>
    <row r="72" spans="1:51" x14ac:dyDescent="0.2">
      <c r="A72" s="13"/>
      <c r="B72" s="14"/>
      <c r="C72" s="13"/>
      <c r="D72" s="13"/>
      <c r="E72" s="14"/>
      <c r="F72" s="13"/>
      <c r="G72" s="14"/>
      <c r="H72" s="13"/>
      <c r="I72" s="13"/>
      <c r="J72" s="13"/>
      <c r="K72" s="13"/>
      <c r="L72" s="13"/>
      <c r="M72" s="13"/>
      <c r="N72" s="13"/>
      <c r="O72" s="13"/>
      <c r="P72" s="14"/>
      <c r="Q72" s="13"/>
      <c r="R72" s="13"/>
      <c r="S72" s="14"/>
      <c r="T72" s="14"/>
      <c r="U72" s="14"/>
      <c r="V72" s="14"/>
      <c r="W72" s="14"/>
      <c r="X72" s="13"/>
      <c r="Y72" s="13"/>
      <c r="Z72" s="15"/>
      <c r="AA72" s="13"/>
      <c r="AB72" s="13"/>
      <c r="AC72" s="13"/>
      <c r="AD72" s="14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5"/>
      <c r="AP72" s="15"/>
      <c r="AQ72" s="13"/>
      <c r="AR72" s="15"/>
      <c r="AS72" s="15"/>
      <c r="AT72" s="13"/>
      <c r="AU72" s="13"/>
      <c r="AV72" s="13"/>
      <c r="AW72" s="13"/>
      <c r="AX72" s="13"/>
      <c r="AY72" s="15"/>
    </row>
    <row r="73" spans="1:51" x14ac:dyDescent="0.2">
      <c r="A73" s="13"/>
      <c r="B73" s="14"/>
      <c r="C73" s="13"/>
      <c r="D73" s="13"/>
      <c r="E73" s="14"/>
      <c r="F73" s="13"/>
      <c r="G73" s="14"/>
      <c r="H73" s="13"/>
      <c r="I73" s="13"/>
      <c r="J73" s="13"/>
      <c r="K73" s="13"/>
      <c r="L73" s="13"/>
      <c r="M73" s="13"/>
      <c r="N73" s="13"/>
      <c r="O73" s="13"/>
      <c r="P73" s="14"/>
      <c r="Q73" s="13"/>
      <c r="R73" s="13"/>
      <c r="S73" s="14"/>
      <c r="T73" s="14"/>
      <c r="U73" s="14"/>
      <c r="V73" s="14"/>
      <c r="W73" s="14"/>
      <c r="X73" s="13"/>
      <c r="Y73" s="13"/>
      <c r="Z73" s="15"/>
      <c r="AA73" s="13"/>
      <c r="AB73" s="13"/>
      <c r="AC73" s="13"/>
      <c r="AD73" s="14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5"/>
      <c r="AP73" s="15"/>
      <c r="AQ73" s="13"/>
      <c r="AR73" s="15"/>
      <c r="AS73" s="15"/>
      <c r="AT73" s="13"/>
      <c r="AU73" s="13"/>
      <c r="AV73" s="13"/>
      <c r="AW73" s="13"/>
      <c r="AX73" s="13"/>
      <c r="AY73" s="15"/>
    </row>
    <row r="74" spans="1:51" x14ac:dyDescent="0.2">
      <c r="A74" s="13"/>
      <c r="B74" s="14"/>
      <c r="C74" s="13"/>
      <c r="D74" s="13"/>
      <c r="E74" s="14"/>
      <c r="F74" s="13"/>
      <c r="G74" s="14"/>
      <c r="H74" s="13"/>
      <c r="I74" s="13"/>
      <c r="J74" s="13"/>
      <c r="K74" s="13"/>
      <c r="L74" s="13"/>
      <c r="M74" s="13"/>
      <c r="N74" s="13"/>
      <c r="O74" s="13"/>
      <c r="P74" s="14"/>
      <c r="Q74" s="13"/>
      <c r="R74" s="13"/>
      <c r="S74" s="14"/>
      <c r="T74" s="14"/>
      <c r="U74" s="14"/>
      <c r="V74" s="14"/>
      <c r="W74" s="14"/>
      <c r="X74" s="13"/>
      <c r="Y74" s="13"/>
      <c r="Z74" s="15"/>
      <c r="AA74" s="13"/>
      <c r="AB74" s="13"/>
      <c r="AC74" s="13"/>
      <c r="AD74" s="14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5"/>
      <c r="AP74" s="15"/>
      <c r="AQ74" s="13"/>
      <c r="AR74" s="15"/>
      <c r="AS74" s="15"/>
      <c r="AT74" s="13"/>
      <c r="AU74" s="13"/>
      <c r="AV74" s="13"/>
      <c r="AW74" s="13"/>
      <c r="AX74" s="13"/>
      <c r="AY74" s="15"/>
    </row>
    <row r="75" spans="1:51" x14ac:dyDescent="0.2">
      <c r="A75" s="13"/>
      <c r="B75" s="14"/>
      <c r="C75" s="13"/>
      <c r="D75" s="13"/>
      <c r="E75" s="14"/>
      <c r="F75" s="13"/>
      <c r="G75" s="14"/>
      <c r="H75" s="13"/>
      <c r="I75" s="13"/>
      <c r="J75" s="13"/>
      <c r="K75" s="13"/>
      <c r="L75" s="13"/>
      <c r="M75" s="13"/>
      <c r="N75" s="13"/>
      <c r="O75" s="13"/>
      <c r="P75" s="14"/>
      <c r="Q75" s="13"/>
      <c r="R75" s="13"/>
      <c r="S75" s="14"/>
      <c r="T75" s="14"/>
      <c r="U75" s="14"/>
      <c r="V75" s="14"/>
      <c r="W75" s="14"/>
      <c r="X75" s="13"/>
      <c r="Y75" s="13"/>
      <c r="Z75" s="15"/>
      <c r="AA75" s="13"/>
      <c r="AB75" s="13"/>
      <c r="AC75" s="13"/>
      <c r="AD75" s="14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5"/>
      <c r="AP75" s="15"/>
      <c r="AQ75" s="13"/>
      <c r="AR75" s="15"/>
      <c r="AS75" s="15"/>
      <c r="AT75" s="13"/>
      <c r="AU75" s="13"/>
      <c r="AV75" s="13"/>
      <c r="AW75" s="13"/>
      <c r="AX75" s="13"/>
      <c r="AY75" s="15"/>
    </row>
    <row r="76" spans="1:51" x14ac:dyDescent="0.2">
      <c r="A76" s="13"/>
      <c r="B76" s="14"/>
      <c r="C76" s="13"/>
      <c r="D76" s="13"/>
      <c r="E76" s="14"/>
      <c r="F76" s="13"/>
      <c r="G76" s="14"/>
      <c r="H76" s="13"/>
      <c r="I76" s="13"/>
      <c r="J76" s="13"/>
      <c r="K76" s="13"/>
      <c r="L76" s="13"/>
      <c r="M76" s="13"/>
      <c r="N76" s="13"/>
      <c r="O76" s="13"/>
      <c r="P76" s="14"/>
      <c r="Q76" s="13"/>
      <c r="R76" s="13"/>
      <c r="S76" s="14"/>
      <c r="T76" s="14"/>
      <c r="U76" s="14"/>
      <c r="V76" s="14"/>
      <c r="W76" s="14"/>
      <c r="X76" s="13"/>
      <c r="Y76" s="13"/>
      <c r="Z76" s="15"/>
      <c r="AA76" s="13"/>
      <c r="AB76" s="13"/>
      <c r="AC76" s="13"/>
      <c r="AD76" s="14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5"/>
      <c r="AP76" s="15"/>
      <c r="AQ76" s="13"/>
      <c r="AR76" s="15"/>
      <c r="AS76" s="15"/>
      <c r="AT76" s="13"/>
      <c r="AU76" s="13"/>
      <c r="AV76" s="13"/>
      <c r="AW76" s="13"/>
      <c r="AX76" s="13"/>
      <c r="AY76" s="15"/>
    </row>
    <row r="77" spans="1:51" x14ac:dyDescent="0.2">
      <c r="A77" s="13"/>
      <c r="B77" s="14"/>
      <c r="C77" s="13"/>
      <c r="D77" s="13"/>
      <c r="E77" s="14"/>
      <c r="F77" s="13"/>
      <c r="G77" s="14"/>
      <c r="H77" s="13"/>
      <c r="I77" s="13"/>
      <c r="J77" s="13"/>
      <c r="K77" s="13"/>
      <c r="L77" s="13"/>
      <c r="M77" s="13"/>
      <c r="N77" s="13"/>
      <c r="O77" s="13"/>
      <c r="P77" s="14"/>
      <c r="Q77" s="13"/>
      <c r="R77" s="13"/>
      <c r="S77" s="14"/>
      <c r="T77" s="14"/>
      <c r="U77" s="14"/>
      <c r="V77" s="14"/>
      <c r="W77" s="14"/>
      <c r="X77" s="13"/>
      <c r="Y77" s="13"/>
      <c r="Z77" s="15"/>
      <c r="AA77" s="13"/>
      <c r="AB77" s="13"/>
      <c r="AC77" s="13"/>
      <c r="AD77" s="14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5"/>
      <c r="AP77" s="15"/>
      <c r="AQ77" s="13"/>
      <c r="AR77" s="15"/>
      <c r="AS77" s="15"/>
      <c r="AT77" s="13"/>
      <c r="AU77" s="13"/>
      <c r="AV77" s="13"/>
      <c r="AW77" s="13"/>
      <c r="AX77" s="13"/>
      <c r="AY77" s="15"/>
    </row>
    <row r="78" spans="1:51" x14ac:dyDescent="0.2">
      <c r="A78" s="13"/>
      <c r="B78" s="14"/>
      <c r="C78" s="13"/>
      <c r="D78" s="13"/>
      <c r="E78" s="14"/>
      <c r="F78" s="13"/>
      <c r="G78" s="14"/>
      <c r="H78" s="13"/>
      <c r="I78" s="13"/>
      <c r="J78" s="13"/>
      <c r="K78" s="13"/>
      <c r="L78" s="13"/>
      <c r="M78" s="13"/>
      <c r="N78" s="13"/>
      <c r="O78" s="13"/>
      <c r="P78" s="14"/>
      <c r="Q78" s="13"/>
      <c r="R78" s="13"/>
      <c r="S78" s="14"/>
      <c r="T78" s="14"/>
      <c r="U78" s="14"/>
      <c r="V78" s="14"/>
      <c r="W78" s="14"/>
      <c r="X78" s="13"/>
      <c r="Y78" s="13"/>
      <c r="Z78" s="15"/>
      <c r="AA78" s="13"/>
      <c r="AB78" s="13"/>
      <c r="AC78" s="13"/>
      <c r="AD78" s="14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5"/>
      <c r="AP78" s="15"/>
      <c r="AQ78" s="13"/>
      <c r="AR78" s="15"/>
      <c r="AS78" s="15"/>
      <c r="AT78" s="13"/>
      <c r="AU78" s="13"/>
      <c r="AV78" s="13"/>
      <c r="AW78" s="13"/>
      <c r="AX78" s="13"/>
      <c r="AY78" s="15"/>
    </row>
    <row r="79" spans="1:51" x14ac:dyDescent="0.2">
      <c r="A79" s="13"/>
      <c r="B79" s="14"/>
      <c r="C79" s="13"/>
      <c r="D79" s="13"/>
      <c r="E79" s="14"/>
      <c r="F79" s="13"/>
      <c r="G79" s="14"/>
      <c r="H79" s="13"/>
      <c r="I79" s="13"/>
      <c r="J79" s="13"/>
      <c r="K79" s="13"/>
      <c r="L79" s="13"/>
      <c r="M79" s="13"/>
      <c r="N79" s="13"/>
      <c r="O79" s="13"/>
      <c r="P79" s="14"/>
      <c r="Q79" s="13"/>
      <c r="R79" s="13"/>
      <c r="S79" s="14"/>
      <c r="T79" s="14"/>
      <c r="U79" s="14"/>
      <c r="V79" s="14"/>
      <c r="W79" s="14"/>
      <c r="X79" s="13"/>
      <c r="Y79" s="13"/>
      <c r="Z79" s="15"/>
      <c r="AA79" s="13"/>
      <c r="AB79" s="13"/>
      <c r="AC79" s="13"/>
      <c r="AD79" s="14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5"/>
      <c r="AP79" s="15"/>
      <c r="AQ79" s="13"/>
      <c r="AR79" s="15"/>
      <c r="AS79" s="15"/>
      <c r="AT79" s="13"/>
      <c r="AU79" s="13"/>
      <c r="AV79" s="13"/>
      <c r="AW79" s="13"/>
      <c r="AX79" s="13"/>
      <c r="AY79" s="15"/>
    </row>
    <row r="80" spans="1:51" x14ac:dyDescent="0.2">
      <c r="A80" s="13"/>
      <c r="B80" s="14"/>
      <c r="C80" s="13"/>
      <c r="D80" s="13"/>
      <c r="E80" s="14"/>
      <c r="F80" s="13"/>
      <c r="G80" s="14"/>
      <c r="H80" s="13"/>
      <c r="I80" s="13"/>
      <c r="J80" s="13"/>
      <c r="K80" s="13"/>
      <c r="L80" s="13"/>
      <c r="M80" s="13"/>
      <c r="N80" s="13"/>
      <c r="O80" s="13"/>
      <c r="P80" s="14"/>
      <c r="Q80" s="13"/>
      <c r="R80" s="13"/>
      <c r="S80" s="14"/>
      <c r="T80" s="14"/>
      <c r="U80" s="14"/>
      <c r="V80" s="14"/>
      <c r="W80" s="14"/>
      <c r="X80" s="13"/>
      <c r="Y80" s="13"/>
      <c r="Z80" s="15"/>
      <c r="AA80" s="13"/>
      <c r="AB80" s="13"/>
      <c r="AC80" s="13"/>
      <c r="AD80" s="14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5"/>
      <c r="AP80" s="15"/>
      <c r="AQ80" s="13"/>
      <c r="AR80" s="15"/>
      <c r="AS80" s="15"/>
      <c r="AT80" s="13"/>
      <c r="AU80" s="13"/>
      <c r="AV80" s="13"/>
      <c r="AW80" s="13"/>
      <c r="AX80" s="13"/>
      <c r="AY80" s="15"/>
    </row>
    <row r="81" spans="1:51" x14ac:dyDescent="0.2">
      <c r="A81" s="13"/>
      <c r="B81" s="14"/>
      <c r="C81" s="13"/>
      <c r="D81" s="13"/>
      <c r="E81" s="14"/>
      <c r="F81" s="13"/>
      <c r="G81" s="14"/>
      <c r="H81" s="13"/>
      <c r="I81" s="13"/>
      <c r="J81" s="13"/>
      <c r="K81" s="13"/>
      <c r="L81" s="13"/>
      <c r="M81" s="13"/>
      <c r="N81" s="13"/>
      <c r="O81" s="13"/>
      <c r="P81" s="14"/>
      <c r="Q81" s="13"/>
      <c r="R81" s="13"/>
      <c r="S81" s="14"/>
      <c r="T81" s="14"/>
      <c r="U81" s="14"/>
      <c r="V81" s="14"/>
      <c r="W81" s="14"/>
      <c r="X81" s="13"/>
      <c r="Y81" s="13"/>
      <c r="Z81" s="15"/>
      <c r="AA81" s="13"/>
      <c r="AB81" s="13"/>
      <c r="AC81" s="13"/>
      <c r="AD81" s="14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5"/>
      <c r="AP81" s="15"/>
      <c r="AQ81" s="13"/>
      <c r="AR81" s="15"/>
      <c r="AS81" s="15"/>
      <c r="AT81" s="13"/>
      <c r="AU81" s="13"/>
      <c r="AV81" s="13"/>
      <c r="AW81" s="13"/>
      <c r="AX81" s="13"/>
      <c r="AY81" s="15"/>
    </row>
    <row r="82" spans="1:51" x14ac:dyDescent="0.2">
      <c r="A82" s="13"/>
      <c r="B82" s="14"/>
      <c r="C82" s="13"/>
      <c r="D82" s="13"/>
      <c r="E82" s="14"/>
      <c r="F82" s="13"/>
      <c r="G82" s="14"/>
      <c r="H82" s="13"/>
      <c r="I82" s="13"/>
      <c r="J82" s="13"/>
      <c r="K82" s="13"/>
      <c r="L82" s="13"/>
      <c r="M82" s="13"/>
      <c r="N82" s="13"/>
      <c r="O82" s="13"/>
      <c r="P82" s="14"/>
      <c r="Q82" s="13"/>
      <c r="R82" s="13"/>
      <c r="S82" s="14"/>
      <c r="T82" s="14"/>
      <c r="U82" s="14"/>
      <c r="V82" s="14"/>
      <c r="W82" s="14"/>
      <c r="X82" s="13"/>
      <c r="Y82" s="13"/>
      <c r="Z82" s="15"/>
      <c r="AA82" s="13"/>
      <c r="AB82" s="13"/>
      <c r="AC82" s="13"/>
      <c r="AD82" s="14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5"/>
      <c r="AP82" s="15"/>
      <c r="AQ82" s="13"/>
      <c r="AR82" s="15"/>
      <c r="AS82" s="15"/>
      <c r="AT82" s="13"/>
      <c r="AU82" s="13"/>
      <c r="AV82" s="13"/>
      <c r="AW82" s="13"/>
      <c r="AX82" s="13"/>
      <c r="AY82" s="15"/>
    </row>
    <row r="83" spans="1:51" x14ac:dyDescent="0.2">
      <c r="A83" s="13"/>
      <c r="B83" s="14"/>
      <c r="C83" s="13"/>
      <c r="D83" s="13"/>
      <c r="E83" s="14"/>
      <c r="F83" s="13"/>
      <c r="G83" s="14"/>
      <c r="H83" s="13"/>
      <c r="I83" s="13"/>
      <c r="J83" s="13"/>
      <c r="K83" s="13"/>
      <c r="L83" s="13"/>
      <c r="M83" s="13"/>
      <c r="N83" s="13"/>
      <c r="O83" s="13"/>
      <c r="P83" s="14"/>
      <c r="Q83" s="13"/>
      <c r="R83" s="13"/>
      <c r="S83" s="14"/>
      <c r="T83" s="14"/>
      <c r="U83" s="14"/>
      <c r="V83" s="14"/>
      <c r="W83" s="14"/>
      <c r="X83" s="13"/>
      <c r="Y83" s="13"/>
      <c r="Z83" s="15"/>
      <c r="AA83" s="13"/>
      <c r="AB83" s="13"/>
      <c r="AC83" s="13"/>
      <c r="AD83" s="14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5"/>
      <c r="AP83" s="15"/>
      <c r="AQ83" s="13"/>
      <c r="AR83" s="15"/>
      <c r="AS83" s="15"/>
      <c r="AT83" s="13"/>
      <c r="AU83" s="13"/>
      <c r="AV83" s="13"/>
      <c r="AW83" s="13"/>
      <c r="AX83" s="13"/>
      <c r="AY83" s="15"/>
    </row>
    <row r="84" spans="1:51" x14ac:dyDescent="0.2">
      <c r="A84" s="13"/>
      <c r="B84" s="14"/>
      <c r="C84" s="13"/>
      <c r="D84" s="13"/>
      <c r="E84" s="14"/>
      <c r="F84" s="13"/>
      <c r="G84" s="14"/>
      <c r="H84" s="13"/>
      <c r="I84" s="13"/>
      <c r="J84" s="13"/>
      <c r="K84" s="13"/>
      <c r="L84" s="13"/>
      <c r="M84" s="13"/>
      <c r="N84" s="13"/>
      <c r="O84" s="13"/>
      <c r="P84" s="14"/>
      <c r="Q84" s="13"/>
      <c r="R84" s="13"/>
      <c r="S84" s="14"/>
      <c r="T84" s="14"/>
      <c r="U84" s="14"/>
      <c r="V84" s="14"/>
      <c r="W84" s="14"/>
      <c r="X84" s="13"/>
      <c r="Y84" s="13"/>
      <c r="Z84" s="15"/>
      <c r="AA84" s="13"/>
      <c r="AB84" s="13"/>
      <c r="AC84" s="13"/>
      <c r="AD84" s="14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5"/>
      <c r="AP84" s="15"/>
      <c r="AQ84" s="13"/>
      <c r="AR84" s="15"/>
      <c r="AS84" s="15"/>
      <c r="AT84" s="13"/>
      <c r="AU84" s="13"/>
      <c r="AV84" s="13"/>
      <c r="AW84" s="13"/>
      <c r="AX84" s="13"/>
      <c r="AY84" s="15"/>
    </row>
    <row r="85" spans="1:51" x14ac:dyDescent="0.2">
      <c r="A85" s="13"/>
      <c r="B85" s="14"/>
      <c r="C85" s="13"/>
      <c r="D85" s="13"/>
      <c r="E85" s="14"/>
      <c r="F85" s="13"/>
      <c r="G85" s="14"/>
      <c r="H85" s="13"/>
      <c r="I85" s="13"/>
      <c r="J85" s="13"/>
      <c r="K85" s="13"/>
      <c r="L85" s="13"/>
      <c r="M85" s="13"/>
      <c r="N85" s="13"/>
      <c r="O85" s="13"/>
      <c r="P85" s="14"/>
      <c r="Q85" s="13"/>
      <c r="R85" s="13"/>
      <c r="S85" s="14"/>
      <c r="T85" s="14"/>
      <c r="U85" s="14"/>
      <c r="V85" s="14"/>
      <c r="W85" s="14"/>
      <c r="X85" s="13"/>
      <c r="Y85" s="13"/>
      <c r="Z85" s="15"/>
      <c r="AA85" s="13"/>
      <c r="AB85" s="13"/>
      <c r="AC85" s="13"/>
      <c r="AD85" s="14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5"/>
      <c r="AP85" s="15"/>
      <c r="AQ85" s="13"/>
      <c r="AR85" s="15"/>
      <c r="AS85" s="15"/>
      <c r="AT85" s="13"/>
      <c r="AU85" s="13"/>
      <c r="AV85" s="13"/>
      <c r="AW85" s="13"/>
      <c r="AX85" s="13"/>
      <c r="AY85" s="15"/>
    </row>
    <row r="86" spans="1:51" x14ac:dyDescent="0.2">
      <c r="A86" s="13"/>
      <c r="B86" s="14"/>
      <c r="C86" s="13"/>
      <c r="D86" s="13"/>
      <c r="E86" s="14"/>
      <c r="F86" s="13"/>
      <c r="G86" s="14"/>
      <c r="H86" s="13"/>
      <c r="I86" s="13"/>
      <c r="J86" s="13"/>
      <c r="K86" s="13"/>
      <c r="L86" s="13"/>
      <c r="M86" s="13"/>
      <c r="N86" s="13"/>
      <c r="O86" s="13"/>
      <c r="P86" s="14"/>
      <c r="Q86" s="13"/>
      <c r="R86" s="13"/>
      <c r="S86" s="14"/>
      <c r="T86" s="14"/>
      <c r="U86" s="14"/>
      <c r="V86" s="14"/>
      <c r="W86" s="14"/>
      <c r="X86" s="13"/>
      <c r="Y86" s="13"/>
      <c r="Z86" s="15"/>
      <c r="AA86" s="13"/>
      <c r="AB86" s="13"/>
      <c r="AC86" s="13"/>
      <c r="AD86" s="14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5"/>
      <c r="AP86" s="15"/>
      <c r="AQ86" s="13"/>
      <c r="AR86" s="15"/>
      <c r="AS86" s="15"/>
      <c r="AT86" s="13"/>
      <c r="AU86" s="13"/>
      <c r="AV86" s="13"/>
      <c r="AW86" s="13"/>
      <c r="AX86" s="13"/>
      <c r="AY86" s="15"/>
    </row>
    <row r="87" spans="1:51" x14ac:dyDescent="0.2">
      <c r="A87" s="13"/>
      <c r="B87" s="14"/>
      <c r="C87" s="13"/>
      <c r="D87" s="13"/>
      <c r="E87" s="14"/>
      <c r="F87" s="13"/>
      <c r="G87" s="14"/>
      <c r="H87" s="13"/>
      <c r="I87" s="13"/>
      <c r="J87" s="13"/>
      <c r="K87" s="13"/>
      <c r="L87" s="13"/>
      <c r="M87" s="13"/>
      <c r="N87" s="13"/>
      <c r="O87" s="13"/>
      <c r="P87" s="14"/>
      <c r="Q87" s="13"/>
      <c r="R87" s="13"/>
      <c r="S87" s="14"/>
      <c r="T87" s="14"/>
      <c r="U87" s="14"/>
      <c r="V87" s="14"/>
      <c r="W87" s="14"/>
      <c r="X87" s="13"/>
      <c r="Y87" s="13"/>
      <c r="Z87" s="15"/>
      <c r="AA87" s="13"/>
      <c r="AB87" s="13"/>
      <c r="AC87" s="13"/>
      <c r="AD87" s="14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5"/>
      <c r="AP87" s="15"/>
      <c r="AQ87" s="13"/>
      <c r="AR87" s="15"/>
      <c r="AS87" s="15"/>
      <c r="AT87" s="13"/>
      <c r="AU87" s="13"/>
      <c r="AV87" s="13"/>
      <c r="AW87" s="13"/>
      <c r="AX87" s="13"/>
      <c r="AY87" s="15"/>
    </row>
    <row r="88" spans="1:51" x14ac:dyDescent="0.2">
      <c r="A88" s="13"/>
      <c r="B88" s="14"/>
      <c r="C88" s="13"/>
      <c r="D88" s="13"/>
      <c r="E88" s="14"/>
      <c r="F88" s="13"/>
      <c r="G88" s="14"/>
      <c r="H88" s="13"/>
      <c r="I88" s="13"/>
      <c r="J88" s="13"/>
      <c r="K88" s="13"/>
      <c r="L88" s="13"/>
      <c r="M88" s="13"/>
      <c r="N88" s="13"/>
      <c r="O88" s="13"/>
      <c r="P88" s="14"/>
      <c r="Q88" s="13"/>
      <c r="R88" s="13"/>
      <c r="S88" s="14"/>
      <c r="T88" s="14"/>
      <c r="U88" s="14"/>
      <c r="V88" s="14"/>
      <c r="W88" s="14"/>
      <c r="X88" s="13"/>
      <c r="Y88" s="13"/>
      <c r="Z88" s="15"/>
      <c r="AA88" s="13"/>
      <c r="AB88" s="13"/>
      <c r="AC88" s="13"/>
      <c r="AD88" s="14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5"/>
      <c r="AP88" s="15"/>
      <c r="AQ88" s="13"/>
      <c r="AR88" s="15"/>
      <c r="AS88" s="15"/>
      <c r="AT88" s="13"/>
      <c r="AU88" s="13"/>
      <c r="AV88" s="13"/>
      <c r="AW88" s="13"/>
      <c r="AX88" s="13"/>
      <c r="AY88" s="15"/>
    </row>
    <row r="89" spans="1:51" x14ac:dyDescent="0.2">
      <c r="A89" s="13"/>
      <c r="B89" s="14"/>
      <c r="C89" s="13"/>
      <c r="D89" s="13"/>
      <c r="E89" s="14"/>
      <c r="F89" s="13"/>
      <c r="G89" s="14"/>
      <c r="H89" s="13"/>
      <c r="I89" s="13"/>
      <c r="J89" s="13"/>
      <c r="K89" s="13"/>
      <c r="L89" s="13"/>
      <c r="M89" s="13"/>
      <c r="N89" s="13"/>
      <c r="O89" s="13"/>
      <c r="P89" s="14"/>
      <c r="Q89" s="13"/>
      <c r="R89" s="13"/>
      <c r="S89" s="14"/>
      <c r="T89" s="14"/>
      <c r="U89" s="14"/>
      <c r="V89" s="14"/>
      <c r="W89" s="14"/>
      <c r="X89" s="13"/>
      <c r="Y89" s="13"/>
      <c r="Z89" s="15"/>
      <c r="AA89" s="13"/>
      <c r="AB89" s="13"/>
      <c r="AC89" s="13"/>
      <c r="AD89" s="14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5"/>
      <c r="AP89" s="15"/>
      <c r="AQ89" s="13"/>
      <c r="AR89" s="13"/>
      <c r="AS89" s="13"/>
      <c r="AT89" s="13"/>
      <c r="AU89" s="13"/>
      <c r="AV89" s="15"/>
    </row>
    <row r="90" spans="1:51" x14ac:dyDescent="0.2">
      <c r="A90" s="13"/>
      <c r="B90" s="14"/>
      <c r="C90" s="13"/>
      <c r="D90" s="13"/>
      <c r="E90" s="14"/>
      <c r="F90" s="13"/>
      <c r="G90" s="14"/>
      <c r="H90" s="13"/>
      <c r="I90" s="13"/>
      <c r="J90" s="13"/>
      <c r="K90" s="13"/>
      <c r="L90" s="13"/>
      <c r="M90" s="13"/>
      <c r="N90" s="13"/>
      <c r="O90" s="13"/>
      <c r="P90" s="14"/>
      <c r="Q90" s="13"/>
      <c r="R90" s="13"/>
      <c r="S90" s="14"/>
      <c r="T90" s="14"/>
      <c r="U90" s="14"/>
      <c r="V90" s="14"/>
      <c r="W90" s="14"/>
      <c r="X90" s="13"/>
      <c r="Y90" s="13"/>
      <c r="Z90" s="15"/>
      <c r="AA90" s="13"/>
      <c r="AB90" s="13"/>
      <c r="AC90" s="13"/>
      <c r="AD90" s="14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5"/>
      <c r="AP90" s="15"/>
      <c r="AQ90" s="13"/>
      <c r="AR90" s="13"/>
      <c r="AS90" s="13"/>
      <c r="AT90" s="13"/>
      <c r="AU90" s="13"/>
      <c r="AV90" s="15"/>
    </row>
    <row r="91" spans="1:51" x14ac:dyDescent="0.2">
      <c r="A91" s="13"/>
      <c r="B91" s="14"/>
      <c r="C91" s="13"/>
      <c r="D91" s="13"/>
      <c r="E91" s="14"/>
      <c r="F91" s="13"/>
      <c r="G91" s="14"/>
      <c r="H91" s="13"/>
      <c r="I91" s="13"/>
      <c r="J91" s="13"/>
      <c r="K91" s="13"/>
      <c r="L91" s="13"/>
      <c r="M91" s="13"/>
      <c r="N91" s="13"/>
      <c r="O91" s="13"/>
      <c r="P91" s="14"/>
      <c r="Q91" s="13"/>
      <c r="R91" s="13"/>
      <c r="S91" s="14"/>
      <c r="T91" s="14"/>
      <c r="U91" s="14"/>
      <c r="V91" s="14"/>
      <c r="W91" s="14"/>
      <c r="X91" s="13"/>
      <c r="Y91" s="13"/>
      <c r="Z91" s="15"/>
      <c r="AA91" s="13"/>
      <c r="AB91" s="13"/>
      <c r="AC91" s="13"/>
      <c r="AD91" s="14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5"/>
      <c r="AP91" s="15"/>
      <c r="AQ91" s="13"/>
      <c r="AR91" s="13"/>
      <c r="AS91" s="13"/>
      <c r="AT91" s="13"/>
      <c r="AU91" s="13"/>
      <c r="AV91" s="15"/>
    </row>
    <row r="92" spans="1:51" x14ac:dyDescent="0.2">
      <c r="A92" s="13"/>
      <c r="B92" s="14"/>
      <c r="C92" s="13"/>
      <c r="D92" s="13"/>
      <c r="E92" s="14"/>
      <c r="F92" s="13"/>
      <c r="G92" s="14"/>
      <c r="H92" s="13"/>
      <c r="I92" s="13"/>
      <c r="J92" s="13"/>
      <c r="K92" s="13"/>
      <c r="L92" s="13"/>
      <c r="M92" s="13"/>
      <c r="N92" s="13"/>
      <c r="O92" s="13"/>
      <c r="P92" s="14"/>
      <c r="Q92" s="13"/>
      <c r="R92" s="13"/>
      <c r="S92" s="14"/>
      <c r="T92" s="14"/>
      <c r="U92" s="14"/>
      <c r="V92" s="14"/>
      <c r="W92" s="14"/>
      <c r="X92" s="13"/>
      <c r="Y92" s="13"/>
      <c r="Z92" s="15"/>
      <c r="AA92" s="13"/>
      <c r="AB92" s="13"/>
      <c r="AC92" s="13"/>
      <c r="AD92" s="14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5"/>
      <c r="AP92" s="15"/>
      <c r="AQ92" s="13"/>
      <c r="AR92" s="13"/>
      <c r="AS92" s="13"/>
      <c r="AT92" s="13"/>
      <c r="AU92" s="13"/>
      <c r="AV92" s="15"/>
    </row>
    <row r="93" spans="1:51" x14ac:dyDescent="0.2">
      <c r="A93" s="13"/>
      <c r="B93" s="14"/>
      <c r="C93" s="13"/>
      <c r="D93" s="13"/>
      <c r="E93" s="14"/>
      <c r="F93" s="13"/>
      <c r="G93" s="14"/>
      <c r="H93" s="13"/>
      <c r="I93" s="13"/>
      <c r="J93" s="13"/>
      <c r="K93" s="13"/>
      <c r="L93" s="13"/>
      <c r="M93" s="13"/>
      <c r="N93" s="13"/>
      <c r="O93" s="13"/>
      <c r="P93" s="14"/>
      <c r="Q93" s="13"/>
      <c r="R93" s="13"/>
      <c r="S93" s="14"/>
      <c r="T93" s="14"/>
      <c r="U93" s="14"/>
      <c r="V93" s="14"/>
      <c r="W93" s="14"/>
      <c r="X93" s="13"/>
      <c r="Y93" s="13"/>
      <c r="Z93" s="15"/>
      <c r="AA93" s="13"/>
      <c r="AB93" s="13"/>
      <c r="AC93" s="13"/>
      <c r="AD93" s="14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5"/>
      <c r="AP93" s="15"/>
      <c r="AQ93" s="13"/>
      <c r="AR93" s="13"/>
      <c r="AS93" s="13"/>
      <c r="AT93" s="13"/>
      <c r="AU93" s="13"/>
      <c r="AV93" s="15"/>
    </row>
    <row r="94" spans="1:51" x14ac:dyDescent="0.2">
      <c r="A94" s="13"/>
      <c r="B94" s="14"/>
      <c r="C94" s="13"/>
      <c r="D94" s="13"/>
      <c r="E94" s="14"/>
      <c r="F94" s="13"/>
      <c r="G94" s="14"/>
      <c r="H94" s="13"/>
      <c r="I94" s="13"/>
      <c r="J94" s="13"/>
      <c r="K94" s="13"/>
      <c r="L94" s="13"/>
      <c r="M94" s="13"/>
      <c r="N94" s="13"/>
      <c r="O94" s="13"/>
      <c r="P94" s="14"/>
      <c r="Q94" s="13"/>
      <c r="R94" s="13"/>
      <c r="S94" s="14"/>
      <c r="T94" s="14"/>
      <c r="U94" s="14"/>
      <c r="V94" s="14"/>
      <c r="W94" s="14"/>
      <c r="X94" s="13"/>
      <c r="Y94" s="13"/>
      <c r="Z94" s="15"/>
      <c r="AA94" s="13"/>
      <c r="AB94" s="13"/>
      <c r="AC94" s="13"/>
      <c r="AD94" s="14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5"/>
      <c r="AP94" s="15"/>
      <c r="AQ94" s="13"/>
      <c r="AR94" s="13"/>
      <c r="AS94" s="13"/>
      <c r="AT94" s="13"/>
      <c r="AU94" s="13"/>
      <c r="AV94" s="15"/>
    </row>
    <row r="95" spans="1:51" x14ac:dyDescent="0.2">
      <c r="A95" s="13"/>
      <c r="B95" s="14"/>
      <c r="C95" s="13"/>
      <c r="D95" s="13"/>
      <c r="E95" s="14"/>
      <c r="F95" s="13"/>
      <c r="G95" s="14"/>
      <c r="H95" s="13"/>
      <c r="I95" s="13"/>
      <c r="J95" s="13"/>
      <c r="K95" s="13"/>
      <c r="L95" s="13"/>
      <c r="M95" s="13"/>
      <c r="N95" s="13"/>
      <c r="O95" s="13"/>
      <c r="P95" s="14"/>
      <c r="Q95" s="13"/>
      <c r="R95" s="13"/>
      <c r="S95" s="14"/>
      <c r="T95" s="14"/>
      <c r="U95" s="14"/>
      <c r="V95" s="14"/>
      <c r="W95" s="14"/>
      <c r="X95" s="13"/>
      <c r="Y95" s="13"/>
      <c r="Z95" s="15"/>
      <c r="AA95" s="13"/>
      <c r="AB95" s="13"/>
      <c r="AC95" s="13"/>
      <c r="AD95" s="14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5"/>
      <c r="AP95" s="15"/>
      <c r="AQ95" s="13"/>
      <c r="AR95" s="13"/>
      <c r="AS95" s="13"/>
      <c r="AT95" s="13"/>
      <c r="AU95" s="13"/>
      <c r="AV95" s="15"/>
    </row>
    <row r="96" spans="1:51" x14ac:dyDescent="0.2">
      <c r="A96" s="13"/>
      <c r="B96" s="14"/>
      <c r="C96" s="13"/>
      <c r="D96" s="13"/>
      <c r="E96" s="14"/>
      <c r="F96" s="13"/>
      <c r="G96" s="14"/>
      <c r="H96" s="13"/>
      <c r="I96" s="13"/>
      <c r="J96" s="13"/>
      <c r="K96" s="13"/>
      <c r="L96" s="13"/>
      <c r="M96" s="13"/>
      <c r="N96" s="13"/>
      <c r="O96" s="13"/>
      <c r="P96" s="14"/>
      <c r="Q96" s="13"/>
      <c r="R96" s="13"/>
      <c r="S96" s="14"/>
      <c r="T96" s="14"/>
      <c r="U96" s="14"/>
      <c r="V96" s="14"/>
      <c r="W96" s="14"/>
      <c r="X96" s="13"/>
      <c r="Y96" s="13"/>
      <c r="Z96" s="15"/>
      <c r="AA96" s="13"/>
      <c r="AB96" s="13"/>
      <c r="AC96" s="13"/>
      <c r="AD96" s="14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5"/>
      <c r="AP96" s="15"/>
      <c r="AQ96" s="13"/>
      <c r="AR96" s="13"/>
      <c r="AS96" s="13"/>
      <c r="AT96" s="13"/>
      <c r="AU96" s="13"/>
      <c r="AV96" s="15"/>
    </row>
    <row r="97" spans="1:48" x14ac:dyDescent="0.2">
      <c r="A97" s="13"/>
      <c r="B97" s="14"/>
      <c r="C97" s="13"/>
      <c r="D97" s="13"/>
      <c r="E97" s="14"/>
      <c r="F97" s="13"/>
      <c r="G97" s="14"/>
      <c r="H97" s="13"/>
      <c r="I97" s="13"/>
      <c r="J97" s="13"/>
      <c r="K97" s="13"/>
      <c r="L97" s="13"/>
      <c r="M97" s="13"/>
      <c r="N97" s="13"/>
      <c r="O97" s="13"/>
      <c r="P97" s="14"/>
      <c r="Q97" s="13"/>
      <c r="R97" s="13"/>
      <c r="S97" s="14"/>
      <c r="T97" s="14"/>
      <c r="U97" s="14"/>
      <c r="V97" s="14"/>
      <c r="W97" s="14"/>
      <c r="X97" s="13"/>
      <c r="Y97" s="13"/>
      <c r="Z97" s="15"/>
      <c r="AA97" s="13"/>
      <c r="AB97" s="13"/>
      <c r="AC97" s="13"/>
      <c r="AD97" s="14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5"/>
      <c r="AP97" s="15"/>
      <c r="AQ97" s="13"/>
      <c r="AR97" s="13"/>
      <c r="AS97" s="13"/>
      <c r="AT97" s="13"/>
      <c r="AU97" s="13"/>
      <c r="AV97" s="15"/>
    </row>
    <row r="98" spans="1:48" x14ac:dyDescent="0.2">
      <c r="A98" s="13"/>
      <c r="B98" s="14"/>
      <c r="C98" s="13"/>
      <c r="D98" s="13"/>
      <c r="E98" s="14"/>
      <c r="F98" s="13"/>
      <c r="G98" s="14"/>
      <c r="H98" s="13"/>
      <c r="I98" s="13"/>
      <c r="J98" s="13"/>
      <c r="K98" s="13"/>
      <c r="L98" s="13"/>
      <c r="M98" s="13"/>
      <c r="N98" s="13"/>
      <c r="O98" s="13"/>
      <c r="P98" s="14"/>
      <c r="Q98" s="13"/>
      <c r="R98" s="13"/>
      <c r="S98" s="14"/>
      <c r="T98" s="14"/>
      <c r="U98" s="14"/>
      <c r="V98" s="14"/>
      <c r="W98" s="14"/>
      <c r="X98" s="13"/>
      <c r="Y98" s="13"/>
      <c r="Z98" s="15"/>
      <c r="AA98" s="13"/>
      <c r="AB98" s="13"/>
      <c r="AC98" s="13"/>
      <c r="AD98" s="14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5"/>
      <c r="AP98" s="15"/>
      <c r="AQ98" s="13"/>
      <c r="AR98" s="13"/>
      <c r="AS98" s="13"/>
      <c r="AT98" s="13"/>
      <c r="AU98" s="13"/>
      <c r="AV98" s="15"/>
    </row>
    <row r="99" spans="1:48" x14ac:dyDescent="0.2">
      <c r="A99" s="13"/>
      <c r="B99" s="14"/>
      <c r="C99" s="13"/>
      <c r="D99" s="13"/>
      <c r="E99" s="14"/>
      <c r="F99" s="13"/>
      <c r="G99" s="14"/>
      <c r="H99" s="13"/>
      <c r="I99" s="13"/>
      <c r="J99" s="13"/>
      <c r="K99" s="13"/>
      <c r="L99" s="13"/>
      <c r="M99" s="13"/>
      <c r="N99" s="13"/>
      <c r="O99" s="13"/>
      <c r="P99" s="14"/>
      <c r="Q99" s="13"/>
      <c r="R99" s="13"/>
      <c r="S99" s="14"/>
      <c r="T99" s="14"/>
      <c r="U99" s="14"/>
      <c r="V99" s="14"/>
      <c r="W99" s="14"/>
      <c r="X99" s="13"/>
      <c r="Y99" s="13"/>
      <c r="Z99" s="15"/>
      <c r="AA99" s="13"/>
      <c r="AB99" s="13"/>
      <c r="AC99" s="13"/>
      <c r="AD99" s="14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5"/>
      <c r="AP99" s="15"/>
      <c r="AQ99" s="13"/>
      <c r="AR99" s="13"/>
      <c r="AS99" s="13"/>
      <c r="AT99" s="13"/>
      <c r="AU99" s="13"/>
      <c r="AV99" s="15"/>
    </row>
    <row r="100" spans="1:48" x14ac:dyDescent="0.2">
      <c r="A100" s="13"/>
      <c r="B100" s="14"/>
      <c r="C100" s="13"/>
      <c r="D100" s="13"/>
      <c r="E100" s="14"/>
      <c r="F100" s="13"/>
      <c r="G100" s="14"/>
      <c r="H100" s="13"/>
      <c r="I100" s="13"/>
      <c r="J100" s="13"/>
      <c r="K100" s="13"/>
      <c r="L100" s="13"/>
      <c r="M100" s="13"/>
      <c r="N100" s="13"/>
      <c r="O100" s="13"/>
      <c r="P100" s="14"/>
      <c r="Q100" s="13"/>
      <c r="R100" s="13"/>
      <c r="S100" s="14"/>
      <c r="T100" s="14"/>
      <c r="U100" s="14"/>
      <c r="V100" s="14"/>
      <c r="W100" s="14"/>
      <c r="X100" s="13"/>
      <c r="Y100" s="13"/>
      <c r="Z100" s="15"/>
      <c r="AA100" s="13"/>
      <c r="AB100" s="13"/>
      <c r="AC100" s="13"/>
      <c r="AD100" s="14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5"/>
      <c r="AP100" s="15"/>
      <c r="AQ100" s="13"/>
      <c r="AR100" s="13"/>
      <c r="AS100" s="13"/>
      <c r="AT100" s="13"/>
      <c r="AU100" s="13"/>
      <c r="AV100" s="15"/>
    </row>
    <row r="101" spans="1:48" x14ac:dyDescent="0.2">
      <c r="A101" s="13"/>
      <c r="B101" s="14"/>
      <c r="C101" s="13"/>
      <c r="D101" s="13"/>
      <c r="E101" s="14"/>
      <c r="F101" s="13"/>
      <c r="G101" s="14"/>
      <c r="H101" s="13"/>
      <c r="I101" s="13"/>
      <c r="J101" s="13"/>
      <c r="K101" s="13"/>
      <c r="L101" s="13"/>
      <c r="M101" s="13"/>
      <c r="N101" s="13"/>
      <c r="O101" s="13"/>
      <c r="P101" s="14"/>
      <c r="Q101" s="13"/>
      <c r="R101" s="13"/>
      <c r="S101" s="14"/>
      <c r="T101" s="14"/>
      <c r="U101" s="14"/>
      <c r="V101" s="14"/>
      <c r="W101" s="14"/>
      <c r="X101" s="13"/>
      <c r="Y101" s="13"/>
      <c r="Z101" s="15"/>
      <c r="AA101" s="13"/>
      <c r="AB101" s="13"/>
      <c r="AC101" s="13"/>
      <c r="AD101" s="14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5"/>
      <c r="AP101" s="15"/>
      <c r="AQ101" s="13"/>
      <c r="AR101" s="13"/>
      <c r="AS101" s="13"/>
      <c r="AT101" s="13"/>
      <c r="AU101" s="13"/>
      <c r="AV101" s="15"/>
    </row>
    <row r="102" spans="1:48" x14ac:dyDescent="0.2">
      <c r="A102" s="13"/>
      <c r="B102" s="14"/>
      <c r="C102" s="13"/>
      <c r="D102" s="13"/>
      <c r="E102" s="14"/>
      <c r="F102" s="13"/>
      <c r="G102" s="14"/>
      <c r="H102" s="13"/>
      <c r="I102" s="13"/>
      <c r="J102" s="13"/>
      <c r="K102" s="13"/>
      <c r="L102" s="13"/>
      <c r="M102" s="13"/>
      <c r="N102" s="13"/>
      <c r="O102" s="13"/>
      <c r="P102" s="14"/>
      <c r="Q102" s="13"/>
      <c r="R102" s="13"/>
      <c r="S102" s="14"/>
      <c r="T102" s="14"/>
      <c r="U102" s="14"/>
      <c r="V102" s="14"/>
      <c r="W102" s="14"/>
      <c r="X102" s="13"/>
      <c r="Y102" s="13"/>
      <c r="Z102" s="15"/>
      <c r="AA102" s="13"/>
      <c r="AB102" s="13"/>
      <c r="AC102" s="13"/>
      <c r="AD102" s="14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5"/>
      <c r="AP102" s="15"/>
      <c r="AQ102" s="13"/>
      <c r="AR102" s="13"/>
      <c r="AS102" s="13"/>
      <c r="AT102" s="13"/>
      <c r="AU102" s="13"/>
      <c r="AV102" s="15"/>
    </row>
    <row r="103" spans="1:48" x14ac:dyDescent="0.2">
      <c r="A103" s="13"/>
      <c r="B103" s="14"/>
      <c r="C103" s="13"/>
      <c r="D103" s="13"/>
      <c r="E103" s="14"/>
      <c r="F103" s="13"/>
      <c r="G103" s="14"/>
      <c r="H103" s="13"/>
      <c r="I103" s="13"/>
      <c r="J103" s="13"/>
      <c r="K103" s="13"/>
      <c r="L103" s="13"/>
      <c r="M103" s="13"/>
      <c r="N103" s="13"/>
      <c r="O103" s="13"/>
      <c r="P103" s="14"/>
      <c r="Q103" s="13"/>
      <c r="R103" s="13"/>
      <c r="S103" s="14"/>
      <c r="T103" s="14"/>
      <c r="U103" s="14"/>
      <c r="V103" s="14"/>
      <c r="W103" s="14"/>
      <c r="X103" s="13"/>
      <c r="Y103" s="13"/>
      <c r="Z103" s="15"/>
      <c r="AA103" s="13"/>
      <c r="AB103" s="13"/>
      <c r="AC103" s="13"/>
      <c r="AD103" s="14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5"/>
      <c r="AP103" s="15"/>
      <c r="AQ103" s="13"/>
      <c r="AR103" s="13"/>
      <c r="AS103" s="13"/>
      <c r="AT103" s="13"/>
      <c r="AU103" s="13"/>
      <c r="AV103" s="15"/>
    </row>
    <row r="104" spans="1:48" x14ac:dyDescent="0.2">
      <c r="A104" s="13"/>
      <c r="B104" s="14"/>
      <c r="C104" s="13"/>
      <c r="D104" s="13"/>
      <c r="E104" s="14"/>
      <c r="F104" s="13"/>
      <c r="G104" s="14"/>
      <c r="H104" s="13"/>
      <c r="I104" s="13"/>
      <c r="J104" s="13"/>
      <c r="K104" s="13"/>
      <c r="L104" s="13"/>
      <c r="M104" s="13"/>
      <c r="N104" s="13"/>
      <c r="O104" s="13"/>
      <c r="P104" s="14"/>
      <c r="Q104" s="13"/>
      <c r="R104" s="13"/>
      <c r="S104" s="14"/>
      <c r="T104" s="14"/>
      <c r="U104" s="14"/>
      <c r="V104" s="14"/>
      <c r="W104" s="14"/>
      <c r="X104" s="13"/>
      <c r="Y104" s="13"/>
      <c r="Z104" s="15"/>
      <c r="AA104" s="13"/>
      <c r="AB104" s="13"/>
      <c r="AC104" s="13"/>
      <c r="AD104" s="14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5"/>
      <c r="AP104" s="15"/>
      <c r="AQ104" s="13"/>
      <c r="AR104" s="13"/>
      <c r="AS104" s="13"/>
      <c r="AT104" s="13"/>
      <c r="AU104" s="13"/>
      <c r="AV104" s="15"/>
    </row>
    <row r="105" spans="1:48" x14ac:dyDescent="0.2">
      <c r="A105" s="13"/>
      <c r="B105" s="14"/>
      <c r="C105" s="13"/>
      <c r="D105" s="13"/>
      <c r="E105" s="14"/>
      <c r="F105" s="13"/>
      <c r="G105" s="14"/>
      <c r="H105" s="13"/>
      <c r="I105" s="13"/>
      <c r="J105" s="13"/>
      <c r="K105" s="13"/>
      <c r="L105" s="13"/>
      <c r="M105" s="13"/>
      <c r="N105" s="13"/>
      <c r="O105" s="13"/>
      <c r="P105" s="14"/>
      <c r="Q105" s="13"/>
      <c r="R105" s="13"/>
      <c r="S105" s="14"/>
      <c r="T105" s="14"/>
      <c r="U105" s="14"/>
      <c r="V105" s="14"/>
      <c r="W105" s="14"/>
      <c r="X105" s="13"/>
      <c r="Y105" s="13"/>
      <c r="Z105" s="15"/>
      <c r="AA105" s="13"/>
      <c r="AB105" s="13"/>
      <c r="AC105" s="13"/>
      <c r="AD105" s="14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5"/>
      <c r="AP105" s="15"/>
      <c r="AQ105" s="13"/>
      <c r="AR105" s="13"/>
      <c r="AS105" s="13"/>
      <c r="AT105" s="13"/>
      <c r="AU105" s="13"/>
      <c r="AV105" s="15"/>
    </row>
    <row r="106" spans="1:48" x14ac:dyDescent="0.2">
      <c r="A106" s="13"/>
      <c r="B106" s="14"/>
      <c r="C106" s="13"/>
      <c r="D106" s="13"/>
      <c r="E106" s="14"/>
      <c r="F106" s="13"/>
      <c r="G106" s="14"/>
      <c r="H106" s="13"/>
      <c r="I106" s="13"/>
      <c r="J106" s="13"/>
      <c r="K106" s="13"/>
      <c r="L106" s="13"/>
      <c r="M106" s="13"/>
      <c r="N106" s="13"/>
      <c r="O106" s="13"/>
      <c r="P106" s="14"/>
      <c r="Q106" s="13"/>
      <c r="R106" s="13"/>
      <c r="S106" s="14"/>
      <c r="T106" s="14"/>
      <c r="U106" s="14"/>
      <c r="V106" s="14"/>
      <c r="W106" s="14"/>
      <c r="X106" s="13"/>
      <c r="Y106" s="13"/>
      <c r="Z106" s="15"/>
      <c r="AA106" s="13"/>
      <c r="AB106" s="13"/>
      <c r="AC106" s="13"/>
      <c r="AD106" s="14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5"/>
      <c r="AP106" s="15"/>
      <c r="AQ106" s="13"/>
      <c r="AR106" s="13"/>
      <c r="AS106" s="13"/>
      <c r="AT106" s="13"/>
      <c r="AU106" s="13"/>
      <c r="AV106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4"/>
  <dimension ref="A1:C85"/>
  <sheetViews>
    <sheetView topLeftCell="A13" workbookViewId="0">
      <selection activeCell="A33" sqref="A33"/>
    </sheetView>
  </sheetViews>
  <sheetFormatPr baseColWidth="10" defaultRowHeight="12.75" x14ac:dyDescent="0.2"/>
  <sheetData>
    <row r="1" spans="1:3" x14ac:dyDescent="0.2">
      <c r="A1" s="19">
        <v>43205</v>
      </c>
      <c r="C1" s="36" t="s">
        <v>304</v>
      </c>
    </row>
    <row r="2" spans="1:3" x14ac:dyDescent="0.2">
      <c r="A2" s="50" t="s">
        <v>305</v>
      </c>
      <c r="C2" s="36"/>
    </row>
    <row r="3" spans="1:3" x14ac:dyDescent="0.2">
      <c r="A3" s="50" t="s">
        <v>315</v>
      </c>
      <c r="C3" s="36"/>
    </row>
    <row r="4" spans="1:3" x14ac:dyDescent="0.2">
      <c r="A4" s="50" t="s">
        <v>316</v>
      </c>
      <c r="C4" s="36"/>
    </row>
    <row r="5" spans="1:3" x14ac:dyDescent="0.2">
      <c r="A5" s="50" t="s">
        <v>317</v>
      </c>
      <c r="C5" s="36"/>
    </row>
    <row r="6" spans="1:3" x14ac:dyDescent="0.2">
      <c r="A6" s="50" t="s">
        <v>320</v>
      </c>
      <c r="C6" s="36"/>
    </row>
    <row r="7" spans="1:3" x14ac:dyDescent="0.2">
      <c r="A7" s="50" t="s">
        <v>321</v>
      </c>
      <c r="C7" s="36"/>
    </row>
    <row r="8" spans="1:3" x14ac:dyDescent="0.2">
      <c r="A8" s="50" t="s">
        <v>318</v>
      </c>
      <c r="C8" s="36"/>
    </row>
    <row r="9" spans="1:3" x14ac:dyDescent="0.2">
      <c r="A9" s="50"/>
      <c r="C9" s="36"/>
    </row>
    <row r="10" spans="1:3" x14ac:dyDescent="0.2">
      <c r="A10" s="52" t="s">
        <v>329</v>
      </c>
      <c r="C10" s="36"/>
    </row>
    <row r="11" spans="1:3" x14ac:dyDescent="0.2">
      <c r="A11" s="50"/>
      <c r="C11" s="36"/>
    </row>
    <row r="12" spans="1:3" x14ac:dyDescent="0.2">
      <c r="A12" s="22" t="s">
        <v>319</v>
      </c>
    </row>
    <row r="13" spans="1:3" x14ac:dyDescent="0.2">
      <c r="A13" s="36" t="s">
        <v>301</v>
      </c>
    </row>
    <row r="14" spans="1:3" x14ac:dyDescent="0.2">
      <c r="A14" s="36" t="s">
        <v>302</v>
      </c>
    </row>
    <row r="15" spans="1:3" s="22" customFormat="1" x14ac:dyDescent="0.2">
      <c r="A15" s="22" t="s">
        <v>303</v>
      </c>
    </row>
    <row r="16" spans="1:3" x14ac:dyDescent="0.2">
      <c r="A16" s="36" t="s">
        <v>322</v>
      </c>
    </row>
    <row r="20" spans="1:1" s="22" customFormat="1" x14ac:dyDescent="0.2">
      <c r="A20" s="51" t="s">
        <v>306</v>
      </c>
    </row>
    <row r="21" spans="1:1" x14ac:dyDescent="0.2">
      <c r="A21" s="36" t="s">
        <v>307</v>
      </c>
    </row>
    <row r="22" spans="1:1" x14ac:dyDescent="0.2">
      <c r="A22" s="36" t="s">
        <v>308</v>
      </c>
    </row>
    <row r="23" spans="1:1" x14ac:dyDescent="0.2">
      <c r="A23" t="s">
        <v>183</v>
      </c>
    </row>
    <row r="24" spans="1:1" x14ac:dyDescent="0.2">
      <c r="A24" s="13" t="s">
        <v>273</v>
      </c>
    </row>
    <row r="25" spans="1:1" x14ac:dyDescent="0.2">
      <c r="A25" s="13" t="s">
        <v>272</v>
      </c>
    </row>
    <row r="27" spans="1:1" x14ac:dyDescent="0.2">
      <c r="A27" s="51" t="s">
        <v>311</v>
      </c>
    </row>
    <row r="28" spans="1:1" x14ac:dyDescent="0.2">
      <c r="A28" s="36" t="s">
        <v>312</v>
      </c>
    </row>
    <row r="29" spans="1:1" x14ac:dyDescent="0.2">
      <c r="A29" s="36" t="s">
        <v>313</v>
      </c>
    </row>
    <row r="31" spans="1:1" s="42" customFormat="1" x14ac:dyDescent="0.2">
      <c r="A31" s="51" t="s">
        <v>332</v>
      </c>
    </row>
    <row r="32" spans="1:1" s="42" customFormat="1" x14ac:dyDescent="0.2">
      <c r="A32" s="53" t="s">
        <v>333</v>
      </c>
    </row>
    <row r="33" spans="1:1" x14ac:dyDescent="0.2">
      <c r="A33" s="36" t="s">
        <v>295</v>
      </c>
    </row>
    <row r="34" spans="1:1" x14ac:dyDescent="0.2">
      <c r="A34" s="22" t="s">
        <v>331</v>
      </c>
    </row>
    <row r="35" spans="1:1" x14ac:dyDescent="0.2">
      <c r="A35" s="36" t="s">
        <v>296</v>
      </c>
    </row>
    <row r="36" spans="1:1" x14ac:dyDescent="0.2">
      <c r="A36" s="22" t="s">
        <v>310</v>
      </c>
    </row>
    <row r="38" spans="1:1" x14ac:dyDescent="0.2">
      <c r="A38" s="22" t="s">
        <v>314</v>
      </c>
    </row>
    <row r="40" spans="1:1" x14ac:dyDescent="0.2">
      <c r="A40" s="22" t="s">
        <v>309</v>
      </c>
    </row>
    <row r="41" spans="1:1" x14ac:dyDescent="0.2">
      <c r="A41" s="22"/>
    </row>
    <row r="42" spans="1:1" x14ac:dyDescent="0.2">
      <c r="A42" s="36" t="s">
        <v>294</v>
      </c>
    </row>
    <row r="43" spans="1:1" x14ac:dyDescent="0.2">
      <c r="A43" s="20" t="s">
        <v>140</v>
      </c>
    </row>
    <row r="44" spans="1:1" x14ac:dyDescent="0.2">
      <c r="A44" s="20" t="s">
        <v>141</v>
      </c>
    </row>
    <row r="45" spans="1:1" x14ac:dyDescent="0.2">
      <c r="A45" s="20" t="s">
        <v>142</v>
      </c>
    </row>
    <row r="46" spans="1:1" x14ac:dyDescent="0.2">
      <c r="A46" s="21" t="s">
        <v>143</v>
      </c>
    </row>
    <row r="47" spans="1:1" x14ac:dyDescent="0.2">
      <c r="A47" s="22" t="s">
        <v>144</v>
      </c>
    </row>
    <row r="48" spans="1:1" x14ac:dyDescent="0.2">
      <c r="A48" s="20" t="s">
        <v>145</v>
      </c>
    </row>
    <row r="49" spans="1:2" x14ac:dyDescent="0.2">
      <c r="A49" s="20" t="s">
        <v>146</v>
      </c>
    </row>
    <row r="50" spans="1:2" x14ac:dyDescent="0.2">
      <c r="B50" s="20" t="s">
        <v>147</v>
      </c>
    </row>
    <row r="51" spans="1:2" x14ac:dyDescent="0.2">
      <c r="B51" s="20" t="s">
        <v>148</v>
      </c>
    </row>
    <row r="52" spans="1:2" x14ac:dyDescent="0.2">
      <c r="A52" s="20" t="s">
        <v>149</v>
      </c>
    </row>
    <row r="53" spans="1:2" x14ac:dyDescent="0.2">
      <c r="B53" s="20" t="s">
        <v>150</v>
      </c>
    </row>
    <row r="56" spans="1:2" x14ac:dyDescent="0.2">
      <c r="A56" s="20" t="s">
        <v>151</v>
      </c>
    </row>
    <row r="57" spans="1:2" x14ac:dyDescent="0.2">
      <c r="A57" s="20" t="s">
        <v>152</v>
      </c>
    </row>
    <row r="58" spans="1:2" x14ac:dyDescent="0.2">
      <c r="A58" s="20" t="s">
        <v>153</v>
      </c>
    </row>
    <row r="59" spans="1:2" x14ac:dyDescent="0.2">
      <c r="A59" s="20" t="s">
        <v>154</v>
      </c>
    </row>
    <row r="60" spans="1:2" x14ac:dyDescent="0.2">
      <c r="A60" s="20" t="s">
        <v>155</v>
      </c>
    </row>
    <row r="61" spans="1:2" x14ac:dyDescent="0.2">
      <c r="A61" s="20" t="s">
        <v>156</v>
      </c>
    </row>
    <row r="62" spans="1:2" x14ac:dyDescent="0.2">
      <c r="A62" s="20" t="s">
        <v>157</v>
      </c>
    </row>
    <row r="63" spans="1:2" x14ac:dyDescent="0.2">
      <c r="A63" s="20" t="s">
        <v>158</v>
      </c>
    </row>
    <row r="65" spans="1:1" x14ac:dyDescent="0.2">
      <c r="A65" s="20" t="s">
        <v>159</v>
      </c>
    </row>
    <row r="68" spans="1:1" x14ac:dyDescent="0.2">
      <c r="A68" s="20" t="s">
        <v>161</v>
      </c>
    </row>
    <row r="69" spans="1:1" x14ac:dyDescent="0.2">
      <c r="A69" s="20" t="s">
        <v>160</v>
      </c>
    </row>
    <row r="71" spans="1:1" x14ac:dyDescent="0.2">
      <c r="A71" s="22" t="s">
        <v>167</v>
      </c>
    </row>
    <row r="72" spans="1:1" x14ac:dyDescent="0.2">
      <c r="A72" s="36" t="s">
        <v>328</v>
      </c>
    </row>
    <row r="73" spans="1:1" x14ac:dyDescent="0.2">
      <c r="A73" s="36" t="s">
        <v>327</v>
      </c>
    </row>
    <row r="74" spans="1:1" x14ac:dyDescent="0.2">
      <c r="A74" s="36" t="s">
        <v>326</v>
      </c>
    </row>
    <row r="75" spans="1:1" x14ac:dyDescent="0.2">
      <c r="A75" s="36" t="s">
        <v>324</v>
      </c>
    </row>
    <row r="76" spans="1:1" x14ac:dyDescent="0.2">
      <c r="A76" s="20" t="s">
        <v>168</v>
      </c>
    </row>
    <row r="77" spans="1:1" x14ac:dyDescent="0.2">
      <c r="A77" s="20" t="s">
        <v>169</v>
      </c>
    </row>
    <row r="78" spans="1:1" x14ac:dyDescent="0.2">
      <c r="A78" s="36" t="s">
        <v>325</v>
      </c>
    </row>
    <row r="81" spans="1:1" ht="15" x14ac:dyDescent="0.25">
      <c r="A81" s="30" t="s">
        <v>170</v>
      </c>
    </row>
    <row r="82" spans="1:1" x14ac:dyDescent="0.2">
      <c r="A82" s="13" t="s">
        <v>171</v>
      </c>
    </row>
    <row r="83" spans="1:1" x14ac:dyDescent="0.2">
      <c r="A83" s="13"/>
    </row>
    <row r="84" spans="1:1" s="22" customFormat="1" x14ac:dyDescent="0.2">
      <c r="A84" s="32" t="s">
        <v>172</v>
      </c>
    </row>
    <row r="85" spans="1:1" x14ac:dyDescent="0.2">
      <c r="A85" s="31" t="s">
        <v>173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6"/>
  <dimension ref="A1:L50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RowHeight="12.75" x14ac:dyDescent="0.2"/>
  <cols>
    <col min="2" max="2" width="38.28515625" customWidth="1"/>
    <col min="3" max="3" width="29.42578125" customWidth="1"/>
    <col min="4" max="4" width="18.85546875" customWidth="1"/>
    <col min="7" max="7" width="27.140625" customWidth="1"/>
    <col min="9" max="9" width="27.5703125" customWidth="1"/>
  </cols>
  <sheetData>
    <row r="1" spans="1:12" s="22" customFormat="1" x14ac:dyDescent="0.2">
      <c r="A1" s="22" t="s">
        <v>330</v>
      </c>
      <c r="B1" s="22" t="s">
        <v>9</v>
      </c>
      <c r="C1" s="32" t="s">
        <v>283</v>
      </c>
      <c r="D1" s="32" t="s">
        <v>284</v>
      </c>
      <c r="E1" s="32" t="s">
        <v>285</v>
      </c>
      <c r="F1" s="32" t="s">
        <v>286</v>
      </c>
      <c r="G1" s="32" t="s">
        <v>287</v>
      </c>
      <c r="H1" s="32" t="s">
        <v>288</v>
      </c>
      <c r="I1" s="32" t="s">
        <v>289</v>
      </c>
      <c r="J1" s="32" t="s">
        <v>291</v>
      </c>
      <c r="K1" s="32" t="s">
        <v>292</v>
      </c>
      <c r="L1" s="32" t="s">
        <v>293</v>
      </c>
    </row>
    <row r="2" spans="1:12" x14ac:dyDescent="0.2">
      <c r="B2" t="str">
        <f>C2&amp;" "&amp;D2</f>
        <v xml:space="preserve"> 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 x14ac:dyDescent="0.2">
      <c r="B3" t="str">
        <f t="shared" ref="B3:B50" si="0">C3&amp;" "&amp;D3</f>
        <v xml:space="preserve"> </v>
      </c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 x14ac:dyDescent="0.2">
      <c r="B4" t="str">
        <f t="shared" si="0"/>
        <v xml:space="preserve"> </v>
      </c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x14ac:dyDescent="0.2">
      <c r="B5" t="str">
        <f t="shared" si="0"/>
        <v xml:space="preserve"> </v>
      </c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1:12" x14ac:dyDescent="0.2">
      <c r="B6" t="str">
        <f t="shared" si="0"/>
        <v xml:space="preserve"> </v>
      </c>
      <c r="C6" s="13"/>
      <c r="D6" s="13"/>
      <c r="E6" s="13"/>
      <c r="F6" s="13"/>
      <c r="G6" s="13"/>
      <c r="H6" s="13"/>
      <c r="I6" s="13"/>
      <c r="J6" s="13"/>
      <c r="K6" s="13"/>
      <c r="L6" s="13"/>
    </row>
    <row r="7" spans="1:12" x14ac:dyDescent="0.2">
      <c r="B7" t="str">
        <f t="shared" si="0"/>
        <v xml:space="preserve"> </v>
      </c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 x14ac:dyDescent="0.2">
      <c r="B8" t="str">
        <f t="shared" si="0"/>
        <v xml:space="preserve"> </v>
      </c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 x14ac:dyDescent="0.2">
      <c r="B9" t="str">
        <f t="shared" si="0"/>
        <v xml:space="preserve"> </v>
      </c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 x14ac:dyDescent="0.2">
      <c r="B10" t="str">
        <f t="shared" si="0"/>
        <v xml:space="preserve"> 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x14ac:dyDescent="0.2">
      <c r="B11" t="str">
        <f t="shared" si="0"/>
        <v xml:space="preserve"> 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x14ac:dyDescent="0.2">
      <c r="B12" t="str">
        <f t="shared" si="0"/>
        <v xml:space="preserve"> 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x14ac:dyDescent="0.2">
      <c r="B13" t="str">
        <f t="shared" si="0"/>
        <v xml:space="preserve"> 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x14ac:dyDescent="0.2">
      <c r="B14" t="str">
        <f t="shared" si="0"/>
        <v xml:space="preserve"> 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x14ac:dyDescent="0.2">
      <c r="B15" t="str">
        <f t="shared" si="0"/>
        <v xml:space="preserve"> 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x14ac:dyDescent="0.2">
      <c r="B16" t="str">
        <f t="shared" si="0"/>
        <v xml:space="preserve"> 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2:12" x14ac:dyDescent="0.2">
      <c r="B17" t="str">
        <f t="shared" si="0"/>
        <v xml:space="preserve"> 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2:12" x14ac:dyDescent="0.2">
      <c r="B18" t="str">
        <f t="shared" si="0"/>
        <v xml:space="preserve"> 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2:12" x14ac:dyDescent="0.2">
      <c r="B19" t="str">
        <f t="shared" si="0"/>
        <v xml:space="preserve"> 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2:12" x14ac:dyDescent="0.2">
      <c r="B20" t="str">
        <f t="shared" si="0"/>
        <v xml:space="preserve"> 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2:12" x14ac:dyDescent="0.2">
      <c r="B21" t="str">
        <f t="shared" si="0"/>
        <v xml:space="preserve"> 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2:12" x14ac:dyDescent="0.2">
      <c r="B22" t="str">
        <f t="shared" si="0"/>
        <v xml:space="preserve"> 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2:12" x14ac:dyDescent="0.2">
      <c r="B23" t="str">
        <f t="shared" si="0"/>
        <v xml:space="preserve"> 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2:12" x14ac:dyDescent="0.2">
      <c r="B24" t="str">
        <f t="shared" si="0"/>
        <v xml:space="preserve"> 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2:12" x14ac:dyDescent="0.2">
      <c r="B25" t="str">
        <f t="shared" si="0"/>
        <v xml:space="preserve"> 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2:12" x14ac:dyDescent="0.2">
      <c r="B26" t="str">
        <f t="shared" si="0"/>
        <v xml:space="preserve"> 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2:12" x14ac:dyDescent="0.2">
      <c r="B27" t="str">
        <f t="shared" si="0"/>
        <v xml:space="preserve"> 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2:12" x14ac:dyDescent="0.2">
      <c r="B28" t="str">
        <f t="shared" si="0"/>
        <v xml:space="preserve"> 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2:12" x14ac:dyDescent="0.2">
      <c r="B29" t="str">
        <f t="shared" si="0"/>
        <v xml:space="preserve"> 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2:12" x14ac:dyDescent="0.2">
      <c r="B30" t="str">
        <f t="shared" si="0"/>
        <v xml:space="preserve"> 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</row>
    <row r="31" spans="2:12" x14ac:dyDescent="0.2">
      <c r="B31" t="str">
        <f t="shared" si="0"/>
        <v xml:space="preserve"> 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</row>
    <row r="32" spans="2:12" x14ac:dyDescent="0.2">
      <c r="B32" t="str">
        <f t="shared" si="0"/>
        <v xml:space="preserve"> 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</row>
    <row r="33" spans="2:12" x14ac:dyDescent="0.2">
      <c r="B33" t="str">
        <f t="shared" si="0"/>
        <v xml:space="preserve"> 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2:12" x14ac:dyDescent="0.2">
      <c r="B34" t="str">
        <f t="shared" si="0"/>
        <v xml:space="preserve"> 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2:12" x14ac:dyDescent="0.2">
      <c r="B35" t="str">
        <f t="shared" si="0"/>
        <v xml:space="preserve"> 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2:12" x14ac:dyDescent="0.2">
      <c r="B36" t="str">
        <f t="shared" si="0"/>
        <v xml:space="preserve"> 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2:12" x14ac:dyDescent="0.2">
      <c r="B37" t="str">
        <f t="shared" si="0"/>
        <v xml:space="preserve"> 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</row>
    <row r="38" spans="2:12" x14ac:dyDescent="0.2">
      <c r="B38" t="str">
        <f t="shared" si="0"/>
        <v xml:space="preserve"> 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</row>
    <row r="39" spans="2:12" x14ac:dyDescent="0.2">
      <c r="B39" t="str">
        <f t="shared" si="0"/>
        <v xml:space="preserve"> 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2:12" x14ac:dyDescent="0.2">
      <c r="B40" t="str">
        <f t="shared" si="0"/>
        <v xml:space="preserve"> 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</row>
    <row r="41" spans="2:12" x14ac:dyDescent="0.2">
      <c r="B41" t="str">
        <f t="shared" si="0"/>
        <v xml:space="preserve"> 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</row>
    <row r="42" spans="2:12" x14ac:dyDescent="0.2">
      <c r="B42" t="str">
        <f t="shared" si="0"/>
        <v xml:space="preserve"> 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</row>
    <row r="43" spans="2:12" x14ac:dyDescent="0.2">
      <c r="B43" t="str">
        <f t="shared" si="0"/>
        <v xml:space="preserve"> 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2:12" x14ac:dyDescent="0.2">
      <c r="B44" t="str">
        <f t="shared" si="0"/>
        <v xml:space="preserve"> 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</row>
    <row r="45" spans="2:12" x14ac:dyDescent="0.2">
      <c r="B45" t="str">
        <f t="shared" si="0"/>
        <v xml:space="preserve"> 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</row>
    <row r="46" spans="2:12" x14ac:dyDescent="0.2">
      <c r="B46" t="str">
        <f t="shared" si="0"/>
        <v xml:space="preserve"> 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</row>
    <row r="47" spans="2:12" x14ac:dyDescent="0.2">
      <c r="B47" t="str">
        <f t="shared" si="0"/>
        <v xml:space="preserve"> 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</row>
    <row r="48" spans="2:12" x14ac:dyDescent="0.2">
      <c r="B48" t="str">
        <f t="shared" si="0"/>
        <v xml:space="preserve"> 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</row>
    <row r="49" spans="2:12" x14ac:dyDescent="0.2">
      <c r="B49" t="str">
        <f t="shared" si="0"/>
        <v xml:space="preserve"> 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</row>
    <row r="50" spans="2:12" x14ac:dyDescent="0.2">
      <c r="B50" t="str">
        <f t="shared" si="0"/>
        <v xml:space="preserve"> 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</row>
  </sheetData>
  <autoFilter ref="B1:L50" xr:uid="{00000000-0009-0000-0000-00000B000000}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1</vt:i4>
      </vt:variant>
    </vt:vector>
  </HeadingPairs>
  <TitlesOfParts>
    <vt:vector size="13" baseType="lpstr">
      <vt:lpstr>Chefs</vt:lpstr>
      <vt:lpstr>RespCompas</vt:lpstr>
      <vt:lpstr>ActFormations</vt:lpstr>
      <vt:lpstr>APFChefs</vt:lpstr>
      <vt:lpstr>TECH</vt:lpstr>
      <vt:lpstr>APPROas</vt:lpstr>
      <vt:lpstr>APPROxxx</vt:lpstr>
      <vt:lpstr>MASC</vt:lpstr>
      <vt:lpstr>AnimateurSF</vt:lpstr>
      <vt:lpstr>DirecteurSF</vt:lpstr>
      <vt:lpstr>Aide</vt:lpstr>
      <vt:lpstr>TAMStagBAFA</vt:lpstr>
      <vt:lpstr>DatePourAge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Finet</dc:creator>
  <cp:lastModifiedBy>Sébastien</cp:lastModifiedBy>
  <dcterms:created xsi:type="dcterms:W3CDTF">2017-05-15T20:25:22Z</dcterms:created>
  <dcterms:modified xsi:type="dcterms:W3CDTF">2018-10-05T12:33:02Z</dcterms:modified>
</cp:coreProperties>
</file>